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05" windowWidth="24915" windowHeight="12075"/>
  </bookViews>
  <sheets>
    <sheet name="Calculator" sheetId="1" r:id="rId1"/>
  </sheets>
  <calcPr calcId="125725"/>
  <customWorkbookViews>
    <customWorkbookView name="Rik - Personal View" guid="{82A098D8-87FB-499C-8E7A-F188AA1DFC5D}" mergeInterval="0" personalView="1" maximized="1" xWindow="1" yWindow="1" windowWidth="1676" windowHeight="830" activeSheetId="1"/>
  </customWorkbookViews>
</workbook>
</file>

<file path=xl/calcChain.xml><?xml version="1.0" encoding="utf-8"?>
<calcChain xmlns="http://schemas.openxmlformats.org/spreadsheetml/2006/main">
  <c r="D31" i="1"/>
  <c r="D32"/>
  <c r="D33"/>
  <c r="D34"/>
  <c r="D35"/>
  <c r="D36"/>
  <c r="D37"/>
  <c r="D38"/>
  <c r="D39"/>
  <c r="D40"/>
  <c r="D41"/>
  <c r="D42"/>
  <c r="D43"/>
  <c r="D44"/>
  <c r="D45"/>
  <c r="AB2" l="1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X31"/>
  <c r="BX32"/>
  <c r="BX33"/>
  <c r="BX34"/>
  <c r="BX35"/>
  <c r="BX36"/>
  <c r="BX37"/>
  <c r="BX38"/>
  <c r="BX39"/>
  <c r="BX40"/>
  <c r="BX41"/>
  <c r="BX42"/>
  <c r="BX43"/>
  <c r="BX44"/>
  <c r="BX45"/>
  <c r="BT43" l="1"/>
  <c r="BT44"/>
  <c r="BT45"/>
  <c r="BV4"/>
  <c r="BW4"/>
  <c r="BV18"/>
  <c r="BW18"/>
  <c r="BV19"/>
  <c r="BW19"/>
  <c r="BV20"/>
  <c r="BW20"/>
  <c r="BV21"/>
  <c r="BW21"/>
  <c r="BV22"/>
  <c r="BW22"/>
  <c r="BV23"/>
  <c r="BW23"/>
  <c r="BV24"/>
  <c r="BW24"/>
  <c r="BV25"/>
  <c r="BW25"/>
  <c r="BV26"/>
  <c r="BW26"/>
  <c r="BV27"/>
  <c r="BW27"/>
  <c r="BV28"/>
  <c r="BW28"/>
  <c r="BV30"/>
  <c r="BW30"/>
  <c r="BV31"/>
  <c r="BW31"/>
  <c r="BV32"/>
  <c r="BW32"/>
  <c r="BV33"/>
  <c r="BV38"/>
  <c r="BW38"/>
  <c r="BV39"/>
  <c r="BW39"/>
  <c r="BV40"/>
  <c r="BV41"/>
  <c r="BV42"/>
  <c r="BU43"/>
  <c r="BV43"/>
  <c r="BW43"/>
  <c r="BU44"/>
  <c r="BV44"/>
  <c r="BW44"/>
  <c r="BU45"/>
  <c r="BV45"/>
  <c r="BW45"/>
  <c r="BV3"/>
  <c r="BT1"/>
  <c r="BR45"/>
  <c r="BS45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3"/>
  <c r="F43"/>
  <c r="F44"/>
  <c r="F45"/>
  <c r="AB45"/>
  <c r="AC45"/>
  <c r="AD45"/>
  <c r="AE45"/>
  <c r="AF45"/>
  <c r="AG45"/>
  <c r="AH45"/>
  <c r="AI45"/>
  <c r="AJ45"/>
  <c r="AK45"/>
  <c r="AL45"/>
  <c r="AM45"/>
  <c r="AN43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23"/>
  <c r="G43"/>
  <c r="G44"/>
  <c r="G45"/>
  <c r="BR43"/>
  <c r="BR44"/>
  <c r="AA2"/>
  <c r="AA45" s="1"/>
  <c r="AR43"/>
  <c r="BW40" l="1"/>
  <c r="AN45"/>
  <c r="BQ45"/>
  <c r="BP34"/>
  <c r="BP11"/>
  <c r="AY43"/>
  <c r="AF43"/>
  <c r="BO39"/>
  <c r="BK43"/>
  <c r="AG43"/>
  <c r="AT43"/>
  <c r="AT44"/>
  <c r="BQ17"/>
  <c r="BC43"/>
  <c r="AH43"/>
  <c r="BQ41"/>
  <c r="BQ20"/>
  <c r="BQ19"/>
  <c r="BB43"/>
  <c r="AL43"/>
  <c r="BQ38"/>
  <c r="BQ32"/>
  <c r="BQ7"/>
  <c r="BQ34"/>
  <c r="BQ33"/>
  <c r="BP30"/>
  <c r="BP22"/>
  <c r="AS43"/>
  <c r="AJ43"/>
  <c r="AC43"/>
  <c r="BP18"/>
  <c r="BQ43"/>
  <c r="AW43"/>
  <c r="AO43"/>
  <c r="AB43"/>
  <c r="BQ37"/>
  <c r="BQ15"/>
  <c r="BG43"/>
  <c r="BO42"/>
  <c r="BO32"/>
  <c r="BO19"/>
  <c r="BO33"/>
  <c r="BO23"/>
  <c r="BO38"/>
  <c r="AY46"/>
  <c r="BI43"/>
  <c r="AD43"/>
  <c r="BQ35"/>
  <c r="BQ3"/>
  <c r="BJ44"/>
  <c r="BN43"/>
  <c r="BE43"/>
  <c r="AX43"/>
  <c r="BQ36"/>
  <c r="BO30"/>
  <c r="BQ29"/>
  <c r="BQ22"/>
  <c r="BO6"/>
  <c r="BM43"/>
  <c r="BF43"/>
  <c r="BA43"/>
  <c r="AU43"/>
  <c r="AP43"/>
  <c r="AK43"/>
  <c r="BQ42"/>
  <c r="BO41"/>
  <c r="BQ40"/>
  <c r="BQ39"/>
  <c r="BQ18"/>
  <c r="BO43"/>
  <c r="BJ43"/>
  <c r="BP42"/>
  <c r="BO40"/>
  <c r="BP38"/>
  <c r="BO31"/>
  <c r="BP3"/>
  <c r="BO37"/>
  <c r="BO36"/>
  <c r="BP9"/>
  <c r="BO26"/>
  <c r="BO25"/>
  <c r="BO14"/>
  <c r="BP8"/>
  <c r="BO35"/>
  <c r="BO34"/>
  <c r="BQ24"/>
  <c r="BO18"/>
  <c r="BQ16"/>
  <c r="BQ12"/>
  <c r="BO4"/>
  <c r="BO24"/>
  <c r="BO20"/>
  <c r="BO29"/>
  <c r="BQ28"/>
  <c r="BQ27"/>
  <c r="BQ26"/>
  <c r="BQ25"/>
  <c r="BO21"/>
  <c r="BQ14"/>
  <c r="BO7"/>
  <c r="BQ31"/>
  <c r="BQ30"/>
  <c r="BO28"/>
  <c r="BO27"/>
  <c r="BP26"/>
  <c r="BO22"/>
  <c r="BQ21"/>
  <c r="BO17"/>
  <c r="BO16"/>
  <c r="BO15"/>
  <c r="BP14"/>
  <c r="BO12"/>
  <c r="BO9"/>
  <c r="BP7"/>
  <c r="BO3"/>
  <c r="BO11"/>
  <c r="BO10"/>
  <c r="BQ9"/>
  <c r="BP43"/>
  <c r="BL43"/>
  <c r="BH43"/>
  <c r="BD43"/>
  <c r="AZ43"/>
  <c r="AV43"/>
  <c r="BP39"/>
  <c r="BP35"/>
  <c r="BP31"/>
  <c r="BP27"/>
  <c r="BP23"/>
  <c r="BP19"/>
  <c r="BP15"/>
  <c r="BP12"/>
  <c r="BP41"/>
  <c r="BP37"/>
  <c r="BP33"/>
  <c r="BP29"/>
  <c r="BP25"/>
  <c r="BP21"/>
  <c r="BP17"/>
  <c r="BP13"/>
  <c r="BP10"/>
  <c r="BP6"/>
  <c r="BP5"/>
  <c r="BP4"/>
  <c r="AQ43"/>
  <c r="AM43"/>
  <c r="AI43"/>
  <c r="AE43"/>
  <c r="AA43"/>
  <c r="BP40"/>
  <c r="BP36"/>
  <c r="BP32"/>
  <c r="BP28"/>
  <c r="BP24"/>
  <c r="BP20"/>
  <c r="BP16"/>
  <c r="BQ13"/>
  <c r="BQ5"/>
  <c r="BQ4"/>
  <c r="BO13"/>
  <c r="BQ11"/>
  <c r="BQ8"/>
  <c r="BO5"/>
  <c r="BQ10"/>
  <c r="BO8"/>
  <c r="BQ6"/>
  <c r="AE44"/>
  <c r="AI46"/>
  <c r="AM46"/>
  <c r="AE46"/>
  <c r="AM44"/>
  <c r="AD44"/>
  <c r="AH44"/>
  <c r="BO46"/>
  <c r="AY44"/>
  <c r="AG46"/>
  <c r="BE46"/>
  <c r="AO46"/>
  <c r="AS46"/>
  <c r="AW46"/>
  <c r="BI46"/>
  <c r="AA44"/>
  <c r="BA46"/>
  <c r="AA46"/>
  <c r="BN44"/>
  <c r="BK46"/>
  <c r="AU44"/>
  <c r="BM46"/>
  <c r="BC46"/>
  <c r="AU46"/>
  <c r="AK46"/>
  <c r="AC46"/>
  <c r="BK44"/>
  <c r="AX44"/>
  <c r="AI44"/>
  <c r="BO44"/>
  <c r="BC44"/>
  <c r="BJ46"/>
  <c r="BB46"/>
  <c r="AX46"/>
  <c r="AT46"/>
  <c r="AP46"/>
  <c r="AL46"/>
  <c r="AD46"/>
  <c r="BQ44"/>
  <c r="AB46"/>
  <c r="BH44"/>
  <c r="BD46"/>
  <c r="BP46"/>
  <c r="AZ46"/>
  <c r="AJ46"/>
  <c r="BF44"/>
  <c r="AZ44"/>
  <c r="AP44"/>
  <c r="BQ46"/>
  <c r="BL46"/>
  <c r="BG46"/>
  <c r="AV46"/>
  <c r="AQ46"/>
  <c r="AF46"/>
  <c r="BL44"/>
  <c r="BG44"/>
  <c r="BB44"/>
  <c r="AV44"/>
  <c r="AQ44"/>
  <c r="AL44"/>
  <c r="AF44"/>
  <c r="BH46"/>
  <c r="AR46"/>
  <c r="AR44"/>
  <c r="AN44"/>
  <c r="BN46"/>
  <c r="BF46"/>
  <c r="AH46"/>
  <c r="AB44"/>
  <c r="AN46"/>
  <c r="BD44"/>
  <c r="BP44"/>
  <c r="AJ44"/>
  <c r="BM44"/>
  <c r="BI44"/>
  <c r="BE44"/>
  <c r="BA44"/>
  <c r="AW44"/>
  <c r="AS44"/>
  <c r="AO44"/>
  <c r="AK44"/>
  <c r="AG44"/>
  <c r="AC44"/>
  <c r="BR1"/>
  <c r="BC14" s="1"/>
  <c r="BW41" l="1"/>
  <c r="BW42"/>
  <c r="BI6"/>
  <c r="AW4"/>
  <c r="AX12"/>
  <c r="AE31"/>
  <c r="AW10"/>
  <c r="BM7"/>
  <c r="BF9"/>
  <c r="BB7"/>
  <c r="AT11"/>
  <c r="BC5"/>
  <c r="AX9"/>
  <c r="BG11"/>
  <c r="BN12"/>
  <c r="BH8"/>
  <c r="BD32"/>
  <c r="BL11"/>
  <c r="AZ21"/>
  <c r="AE24"/>
  <c r="AE28"/>
  <c r="BL33"/>
  <c r="BH37"/>
  <c r="BH10"/>
  <c r="BL15"/>
  <c r="AM26"/>
  <c r="AV39"/>
  <c r="BC9"/>
  <c r="BA18"/>
  <c r="BG8"/>
  <c r="BB4"/>
  <c r="AX6"/>
  <c r="BA11"/>
  <c r="BB12"/>
  <c r="AW8"/>
  <c r="AS8"/>
  <c r="AW12"/>
  <c r="AZ16"/>
  <c r="BD24"/>
  <c r="AZ28"/>
  <c r="AV32"/>
  <c r="AA35"/>
  <c r="BL36"/>
  <c r="BD40"/>
  <c r="AV4"/>
  <c r="BD6"/>
  <c r="AV17"/>
  <c r="AQ20"/>
  <c r="AA24"/>
  <c r="BL29"/>
  <c r="AM32"/>
  <c r="AZ37"/>
  <c r="BD41"/>
  <c r="BI8"/>
  <c r="AZ15"/>
  <c r="BH31"/>
  <c r="BD35"/>
  <c r="AQ38"/>
  <c r="AZ26"/>
  <c r="BI35"/>
  <c r="BL10"/>
  <c r="AV16"/>
  <c r="AQ27"/>
  <c r="BH36"/>
  <c r="AV40"/>
  <c r="AZ41"/>
  <c r="BD10"/>
  <c r="AA20"/>
  <c r="BH25"/>
  <c r="BH29"/>
  <c r="AI32"/>
  <c r="AI36"/>
  <c r="AM40"/>
  <c r="AZ6"/>
  <c r="BL19"/>
  <c r="BL23"/>
  <c r="BD27"/>
  <c r="AZ31"/>
  <c r="AM34"/>
  <c r="AE38"/>
  <c r="AE42"/>
  <c r="AV7"/>
  <c r="AZ12"/>
  <c r="AU21"/>
  <c r="AW25"/>
  <c r="BI22"/>
  <c r="BK12"/>
  <c r="AS22"/>
  <c r="BC8"/>
  <c r="BJ9"/>
  <c r="AZ20"/>
  <c r="BN7"/>
  <c r="BK5"/>
  <c r="BG13"/>
  <c r="AW9"/>
  <c r="AV20"/>
  <c r="AI23"/>
  <c r="AI27"/>
  <c r="AA31"/>
  <c r="BL32"/>
  <c r="AQ35"/>
  <c r="AM39"/>
  <c r="AZ5"/>
  <c r="BL8"/>
  <c r="AZ13"/>
  <c r="BD21"/>
  <c r="AQ24"/>
  <c r="AZ29"/>
  <c r="AE32"/>
  <c r="BM5"/>
  <c r="BD12"/>
  <c r="AZ23"/>
  <c r="AZ27"/>
  <c r="AI30"/>
  <c r="AA34"/>
  <c r="BK3"/>
  <c r="AW19"/>
  <c r="BI13"/>
  <c r="BA9"/>
  <c r="BA10"/>
  <c r="BA8"/>
  <c r="AZ24"/>
  <c r="BB11"/>
  <c r="BA5"/>
  <c r="BN6"/>
  <c r="BH12"/>
  <c r="AE23"/>
  <c r="AI35"/>
  <c r="BD17"/>
  <c r="AI22"/>
  <c r="AA30"/>
  <c r="BH35"/>
  <c r="BH14"/>
  <c r="AY22"/>
  <c r="BE6"/>
  <c r="BJ7"/>
  <c r="BK8"/>
  <c r="BE10"/>
  <c r="BJ11"/>
  <c r="BG5"/>
  <c r="BC6"/>
  <c r="BG10"/>
  <c r="AT12"/>
  <c r="AY13"/>
  <c r="BI11"/>
  <c r="BL7"/>
  <c r="BM9"/>
  <c r="BL13"/>
  <c r="BH16"/>
  <c r="BH20"/>
  <c r="AV24"/>
  <c r="AA27"/>
  <c r="BD28"/>
  <c r="AQ31"/>
  <c r="AV36"/>
  <c r="AI39"/>
  <c r="BL40"/>
  <c r="BH41"/>
  <c r="BL9"/>
  <c r="AV12"/>
  <c r="AZ17"/>
  <c r="AI20"/>
  <c r="AV25"/>
  <c r="AI28"/>
  <c r="BD33"/>
  <c r="AM36"/>
  <c r="AA40"/>
  <c r="AV5"/>
  <c r="BD9"/>
  <c r="BH13"/>
  <c r="BH19"/>
  <c r="AQ22"/>
  <c r="AE26"/>
  <c r="BD31"/>
  <c r="AE34"/>
  <c r="BL39"/>
  <c r="BE8"/>
  <c r="BE16"/>
  <c r="AA21"/>
  <c r="AA37"/>
  <c r="BI38"/>
  <c r="BA6"/>
  <c r="AX7"/>
  <c r="AU8"/>
  <c r="BM10"/>
  <c r="BF11"/>
  <c r="BM4"/>
  <c r="BC7"/>
  <c r="AT9"/>
  <c r="BN9"/>
  <c r="BJ12"/>
  <c r="BK13"/>
  <c r="BI12"/>
  <c r="AZ7"/>
  <c r="BM8"/>
  <c r="BE11"/>
  <c r="BL20"/>
  <c r="AM23"/>
  <c r="BL24"/>
  <c r="AM27"/>
  <c r="BH28"/>
  <c r="AM31"/>
  <c r="BH32"/>
  <c r="AE35"/>
  <c r="AZ36"/>
  <c r="AE39"/>
  <c r="AZ40"/>
  <c r="BL17"/>
  <c r="AM20"/>
  <c r="BH21"/>
  <c r="AM24"/>
  <c r="BL25"/>
  <c r="AQ28"/>
  <c r="AZ33"/>
  <c r="AA36"/>
  <c r="BD37"/>
  <c r="AE40"/>
  <c r="AZ4"/>
  <c r="BH7"/>
  <c r="AZ11"/>
  <c r="AV15"/>
  <c r="AV19"/>
  <c r="AE22"/>
  <c r="BH23"/>
  <c r="AI26"/>
  <c r="BL27"/>
  <c r="AM30"/>
  <c r="AV35"/>
  <c r="AA38"/>
  <c r="AZ39"/>
  <c r="AM42"/>
  <c r="AY6"/>
  <c r="BG7"/>
  <c r="AV14"/>
  <c r="AY15"/>
  <c r="BG19"/>
  <c r="BC23"/>
  <c r="BM30"/>
  <c r="AW18"/>
  <c r="AK26"/>
  <c r="BN4"/>
  <c r="BK14"/>
  <c r="BE19"/>
  <c r="BF23"/>
  <c r="BF26"/>
  <c r="AK28"/>
  <c r="BE12"/>
  <c r="BN22"/>
  <c r="BE27"/>
  <c r="AK33"/>
  <c r="BE22"/>
  <c r="AG20"/>
  <c r="BN25"/>
  <c r="AG32"/>
  <c r="AR32"/>
  <c r="AW16"/>
  <c r="BJ25"/>
  <c r="AP27"/>
  <c r="BG18"/>
  <c r="BN30"/>
  <c r="AN32"/>
  <c r="AD27"/>
  <c r="BK7"/>
  <c r="AA33"/>
  <c r="BC11"/>
  <c r="BD14"/>
  <c r="BE15"/>
  <c r="AY17"/>
  <c r="AR20"/>
  <c r="AU22"/>
  <c r="BI24"/>
  <c r="AY27"/>
  <c r="BI15"/>
  <c r="BI29"/>
  <c r="BK20"/>
  <c r="BA24"/>
  <c r="BF15"/>
  <c r="BF24"/>
  <c r="BF29"/>
  <c r="BN33"/>
  <c r="AR13"/>
  <c r="BR30"/>
  <c r="AF23"/>
  <c r="AB32"/>
  <c r="AB39"/>
  <c r="BR27"/>
  <c r="BR31"/>
  <c r="BR35"/>
  <c r="AV11"/>
  <c r="AN20"/>
  <c r="AR27"/>
  <c r="AR33"/>
  <c r="AZ38"/>
  <c r="AF27"/>
  <c r="AJ35"/>
  <c r="AF42"/>
  <c r="AB33"/>
  <c r="BH38"/>
  <c r="AF24"/>
  <c r="AF36"/>
  <c r="AJ42"/>
  <c r="AJ37"/>
  <c r="BR20"/>
  <c r="BR24"/>
  <c r="BR28"/>
  <c r="BR32"/>
  <c r="BR36"/>
  <c r="BR40"/>
  <c r="AJ36"/>
  <c r="AR35"/>
  <c r="BG40"/>
  <c r="AB30"/>
  <c r="AR40"/>
  <c r="BR21"/>
  <c r="BR25"/>
  <c r="BR29"/>
  <c r="BR33"/>
  <c r="BR37"/>
  <c r="BR41"/>
  <c r="BR22"/>
  <c r="BR26"/>
  <c r="BR34"/>
  <c r="BR38"/>
  <c r="BR42"/>
  <c r="AN35"/>
  <c r="BL5"/>
  <c r="BL3"/>
  <c r="AR22"/>
  <c r="AJ24"/>
  <c r="AR28"/>
  <c r="AJ34"/>
  <c r="AF38"/>
  <c r="AJ41"/>
  <c r="AR42"/>
  <c r="BR23"/>
  <c r="BR39"/>
  <c r="AM25"/>
  <c r="AM41"/>
  <c r="AB21"/>
  <c r="AJ31"/>
  <c r="AB38"/>
  <c r="AB41"/>
  <c r="AJ25"/>
  <c r="AB23"/>
  <c r="AF33"/>
  <c r="AV38"/>
  <c r="AB37"/>
  <c r="AJ26"/>
  <c r="BI14"/>
  <c r="AS26"/>
  <c r="AC41"/>
  <c r="BB38"/>
  <c r="AL20"/>
  <c r="BK36"/>
  <c r="BM17"/>
  <c r="BC42"/>
  <c r="AD26"/>
  <c r="AL31"/>
  <c r="AL39"/>
  <c r="BB33"/>
  <c r="AL37"/>
  <c r="BI42"/>
  <c r="BF3"/>
  <c r="BE42"/>
  <c r="BG15"/>
  <c r="BK40"/>
  <c r="BC18"/>
  <c r="AX42"/>
  <c r="AX39"/>
  <c r="AG35"/>
  <c r="AC23"/>
  <c r="BJ42"/>
  <c r="AS39"/>
  <c r="BE35"/>
  <c r="AH20"/>
  <c r="BN34"/>
  <c r="AR34"/>
  <c r="AJ29"/>
  <c r="BH22"/>
  <c r="BE14"/>
  <c r="AB42"/>
  <c r="BJ40"/>
  <c r="BJ38"/>
  <c r="AD37"/>
  <c r="AB34"/>
  <c r="AB31"/>
  <c r="AF28"/>
  <c r="BM22"/>
  <c r="BF10"/>
  <c r="BH3"/>
  <c r="AS37"/>
  <c r="BD38"/>
  <c r="AG42"/>
  <c r="AR39"/>
  <c r="BK35"/>
  <c r="AW33"/>
  <c r="AF30"/>
  <c r="AO26"/>
  <c r="AO21"/>
  <c r="AV10"/>
  <c r="AC25"/>
  <c r="BG29"/>
  <c r="AY33"/>
  <c r="AY39"/>
  <c r="AC42"/>
  <c r="AH41"/>
  <c r="BF37"/>
  <c r="BI34"/>
  <c r="BA31"/>
  <c r="BJ24"/>
  <c r="AT33"/>
  <c r="AS42"/>
  <c r="AW41"/>
  <c r="BF40"/>
  <c r="BM39"/>
  <c r="AC39"/>
  <c r="AP38"/>
  <c r="AG37"/>
  <c r="BN35"/>
  <c r="AS34"/>
  <c r="AW31"/>
  <c r="AK30"/>
  <c r="BB27"/>
  <c r="BB24"/>
  <c r="AC21"/>
  <c r="BG17"/>
  <c r="BJ3"/>
  <c r="AD21"/>
  <c r="BF42"/>
  <c r="AD42"/>
  <c r="AU41"/>
  <c r="BI40"/>
  <c r="AO39"/>
  <c r="BA38"/>
  <c r="BB37"/>
  <c r="AC37"/>
  <c r="AC36"/>
  <c r="AC35"/>
  <c r="BG33"/>
  <c r="AW32"/>
  <c r="AS30"/>
  <c r="BA25"/>
  <c r="BE9"/>
  <c r="AZ42"/>
  <c r="AL40"/>
  <c r="AU39"/>
  <c r="BL38"/>
  <c r="AT38"/>
  <c r="BK37"/>
  <c r="AI37"/>
  <c r="AL36"/>
  <c r="AL35"/>
  <c r="BD30"/>
  <c r="AO28"/>
  <c r="AQ25"/>
  <c r="BJ21"/>
  <c r="BG16"/>
  <c r="BH6"/>
  <c r="BG37"/>
  <c r="AR36"/>
  <c r="AP35"/>
  <c r="AV34"/>
  <c r="BJ33"/>
  <c r="BF32"/>
  <c r="AK31"/>
  <c r="AT29"/>
  <c r="BB28"/>
  <c r="AJ27"/>
  <c r="AH25"/>
  <c r="BN23"/>
  <c r="AJ22"/>
  <c r="BJ20"/>
  <c r="BC17"/>
  <c r="BD13"/>
  <c r="BB5"/>
  <c r="AG21"/>
  <c r="AN40"/>
  <c r="BN37"/>
  <c r="BN26"/>
  <c r="BK33"/>
  <c r="BF31"/>
  <c r="AL30"/>
  <c r="AD29"/>
  <c r="AH27"/>
  <c r="AL25"/>
  <c r="BB22"/>
  <c r="BH18"/>
  <c r="AX16"/>
  <c r="BK4"/>
  <c r="BC35"/>
  <c r="BG34"/>
  <c r="BM33"/>
  <c r="BK32"/>
  <c r="AC32"/>
  <c r="BK30"/>
  <c r="AY29"/>
  <c r="AS28"/>
  <c r="AC26"/>
  <c r="BG23"/>
  <c r="AW22"/>
  <c r="BA17"/>
  <c r="BG6"/>
  <c r="BC4"/>
  <c r="AN27"/>
  <c r="AN21"/>
  <c r="BD5"/>
  <c r="AJ38"/>
  <c r="AF29"/>
  <c r="AB20"/>
  <c r="AI21"/>
  <c r="AW35"/>
  <c r="AG36"/>
  <c r="BF28"/>
  <c r="AP20"/>
  <c r="AE37"/>
  <c r="AA25"/>
  <c r="AG41"/>
  <c r="AH28"/>
  <c r="AD36"/>
  <c r="AD41"/>
  <c r="AU35"/>
  <c r="AG39"/>
  <c r="BA3"/>
  <c r="AH32"/>
  <c r="BE29"/>
  <c r="BJ36"/>
  <c r="AY4"/>
  <c r="AU26"/>
  <c r="AP40"/>
  <c r="BF35"/>
  <c r="AH29"/>
  <c r="BB3"/>
  <c r="BM34"/>
  <c r="AC40"/>
  <c r="AO36"/>
  <c r="AX30"/>
  <c r="AP21"/>
  <c r="BM26"/>
  <c r="BD18"/>
  <c r="AL42"/>
  <c r="AF41"/>
  <c r="AJ39"/>
  <c r="AW37"/>
  <c r="BA34"/>
  <c r="BN31"/>
  <c r="AB29"/>
  <c r="AB24"/>
  <c r="AP25"/>
  <c r="AF20"/>
  <c r="AG28"/>
  <c r="AO42"/>
  <c r="AJ40"/>
  <c r="AG38"/>
  <c r="BE36"/>
  <c r="AF34"/>
  <c r="BC30"/>
  <c r="AO27"/>
  <c r="BD22"/>
  <c r="BE13"/>
  <c r="BM16"/>
  <c r="AI33"/>
  <c r="BG14"/>
  <c r="BG39"/>
  <c r="AI41"/>
  <c r="AT42"/>
  <c r="AO41"/>
  <c r="BK38"/>
  <c r="BA32"/>
  <c r="BF25"/>
  <c r="AX19"/>
  <c r="AP26"/>
  <c r="AY42"/>
  <c r="BE41"/>
  <c r="BM40"/>
  <c r="AD40"/>
  <c r="AK39"/>
  <c r="AX38"/>
  <c r="AQ37"/>
  <c r="AP36"/>
  <c r="BB34"/>
  <c r="AO32"/>
  <c r="BA30"/>
  <c r="AT28"/>
  <c r="AO25"/>
  <c r="BE21"/>
  <c r="BF18"/>
  <c r="AE29"/>
  <c r="AG34"/>
  <c r="BK42"/>
  <c r="AP42"/>
  <c r="BB41"/>
  <c r="AO40"/>
  <c r="AW39"/>
  <c r="BF38"/>
  <c r="BM37"/>
  <c r="AH37"/>
  <c r="AH36"/>
  <c r="AH35"/>
  <c r="AD34"/>
  <c r="BM32"/>
  <c r="BB30"/>
  <c r="BE26"/>
  <c r="BA15"/>
  <c r="BD42"/>
  <c r="AY41"/>
  <c r="AS40"/>
  <c r="BF39"/>
  <c r="AY38"/>
  <c r="AC38"/>
  <c r="AO37"/>
  <c r="AT36"/>
  <c r="AT35"/>
  <c r="AX34"/>
  <c r="BH30"/>
  <c r="BK28"/>
  <c r="BK25"/>
  <c r="BL22"/>
  <c r="AV18"/>
  <c r="AY11"/>
  <c r="BB36"/>
  <c r="BB35"/>
  <c r="BF34"/>
  <c r="AC34"/>
  <c r="AP33"/>
  <c r="AT31"/>
  <c r="AH30"/>
  <c r="BN28"/>
  <c r="AX27"/>
  <c r="AF26"/>
  <c r="AD24"/>
  <c r="AZ22"/>
  <c r="AF21"/>
  <c r="AX18"/>
  <c r="AX14"/>
  <c r="BD8"/>
  <c r="AL27"/>
  <c r="BN40"/>
  <c r="AN38"/>
  <c r="BN27"/>
  <c r="BN16"/>
  <c r="AT32"/>
  <c r="AV30"/>
  <c r="AP29"/>
  <c r="BF27"/>
  <c r="AY25"/>
  <c r="AH23"/>
  <c r="BC19"/>
  <c r="BJ16"/>
  <c r="BJ10"/>
  <c r="AB40"/>
  <c r="AF32"/>
  <c r="BD7"/>
  <c r="AQ33"/>
  <c r="BA22"/>
  <c r="AK22"/>
  <c r="BJ8"/>
  <c r="AT23"/>
  <c r="AD32"/>
  <c r="AD20"/>
  <c r="BC41"/>
  <c r="AS41"/>
  <c r="AX36"/>
  <c r="BE23"/>
  <c r="AC31"/>
  <c r="BJ39"/>
  <c r="AW3"/>
  <c r="AM29"/>
  <c r="BC12"/>
  <c r="AL41"/>
  <c r="BE37"/>
  <c r="BF30"/>
  <c r="BN3"/>
  <c r="AL21"/>
  <c r="AT41"/>
  <c r="BA37"/>
  <c r="AH31"/>
  <c r="AH22"/>
  <c r="AR31"/>
  <c r="BA27"/>
  <c r="AJ20"/>
  <c r="AN30"/>
  <c r="BB42"/>
  <c r="AN41"/>
  <c r="BE39"/>
  <c r="AD38"/>
  <c r="AB35"/>
  <c r="AP32"/>
  <c r="BA29"/>
  <c r="AX25"/>
  <c r="BB20"/>
  <c r="AF22"/>
  <c r="AP22"/>
  <c r="AS27"/>
  <c r="BM24"/>
  <c r="BE40"/>
  <c r="AS38"/>
  <c r="AF37"/>
  <c r="AZ34"/>
  <c r="AF31"/>
  <c r="AC29"/>
  <c r="AC24"/>
  <c r="AG23"/>
  <c r="BG26"/>
  <c r="AY40"/>
  <c r="BG4"/>
  <c r="BE7"/>
  <c r="BM42"/>
  <c r="AX41"/>
  <c r="BA39"/>
  <c r="AW36"/>
  <c r="BE33"/>
  <c r="BM29"/>
  <c r="AL22"/>
  <c r="BK19"/>
  <c r="BG42"/>
  <c r="BM41"/>
  <c r="AK41"/>
  <c r="AK40"/>
  <c r="AT39"/>
  <c r="BE38"/>
  <c r="AY37"/>
  <c r="BC36"/>
  <c r="AO35"/>
  <c r="BG32"/>
  <c r="AS29"/>
  <c r="AH26"/>
  <c r="BF19"/>
  <c r="BM12"/>
  <c r="AT20"/>
  <c r="AO22"/>
  <c r="AU42"/>
  <c r="BG41"/>
  <c r="AE41"/>
  <c r="AU40"/>
  <c r="BB39"/>
  <c r="BM38"/>
  <c r="AL38"/>
  <c r="AP37"/>
  <c r="AS36"/>
  <c r="BA35"/>
  <c r="AW34"/>
  <c r="AE33"/>
  <c r="BG30"/>
  <c r="AC27"/>
  <c r="BA16"/>
  <c r="BH42"/>
  <c r="BJ41"/>
  <c r="AX40"/>
  <c r="BK39"/>
  <c r="AD39"/>
  <c r="BC38"/>
  <c r="AH38"/>
  <c r="AX37"/>
  <c r="AY36"/>
  <c r="AY35"/>
  <c r="BD34"/>
  <c r="AP31"/>
  <c r="AO29"/>
  <c r="BB26"/>
  <c r="BB23"/>
  <c r="BL18"/>
  <c r="BJ14"/>
  <c r="AO20"/>
  <c r="BG36"/>
  <c r="BJ35"/>
  <c r="BL34"/>
  <c r="AH34"/>
  <c r="AU33"/>
  <c r="AJ32"/>
  <c r="BL30"/>
  <c r="AG29"/>
  <c r="AB28"/>
  <c r="AN26"/>
  <c r="AP24"/>
  <c r="AJ23"/>
  <c r="AT21"/>
  <c r="BK18"/>
  <c r="BB15"/>
  <c r="AV13"/>
  <c r="BN41"/>
  <c r="AN39"/>
  <c r="AN31"/>
  <c r="BN20"/>
  <c r="BB32"/>
  <c r="BJ30"/>
  <c r="AU29"/>
  <c r="AL28"/>
  <c r="AR23"/>
  <c r="AH21"/>
  <c r="BN17"/>
  <c r="BB14"/>
  <c r="BN5"/>
  <c r="BM36"/>
  <c r="AY34"/>
  <c r="AM33"/>
  <c r="AY32"/>
  <c r="AU31"/>
  <c r="AC30"/>
  <c r="AI29"/>
  <c r="BG27"/>
  <c r="AS25"/>
  <c r="AR24"/>
  <c r="AO23"/>
  <c r="BM14"/>
  <c r="BC10"/>
  <c r="BC3"/>
  <c r="AN33"/>
  <c r="AN28"/>
  <c r="AN34"/>
  <c r="BI17"/>
  <c r="AU36"/>
  <c r="AR41"/>
  <c r="BH34"/>
  <c r="AV22"/>
  <c r="AZ3"/>
  <c r="BE3"/>
  <c r="AO34"/>
  <c r="BN36"/>
  <c r="AX3"/>
  <c r="AH40"/>
  <c r="AU24"/>
  <c r="AL32"/>
  <c r="AM37"/>
  <c r="AL26"/>
  <c r="BC32"/>
  <c r="BF41"/>
  <c r="BA40"/>
  <c r="BC21"/>
  <c r="BK9"/>
  <c r="BK23"/>
  <c r="AH42"/>
  <c r="AK38"/>
  <c r="AL34"/>
  <c r="BM15"/>
  <c r="BB6"/>
  <c r="BI32"/>
  <c r="AW42"/>
  <c r="AD35"/>
  <c r="AX21"/>
  <c r="BM28"/>
  <c r="AJ21"/>
  <c r="BA41"/>
  <c r="AF40"/>
  <c r="AR38"/>
  <c r="AB36"/>
  <c r="AJ33"/>
  <c r="AR30"/>
  <c r="AB27"/>
  <c r="AB22"/>
  <c r="BM3"/>
  <c r="AZ9"/>
  <c r="AD33"/>
  <c r="AJ30"/>
  <c r="BK41"/>
  <c r="AF39"/>
  <c r="AR37"/>
  <c r="AF35"/>
  <c r="BE31"/>
  <c r="AK29"/>
  <c r="AE25"/>
  <c r="BA19"/>
  <c r="AV3"/>
  <c r="AY30"/>
  <c r="AQ21"/>
  <c r="AY21"/>
  <c r="BJ13"/>
  <c r="BI41"/>
  <c r="AT40"/>
  <c r="AT37"/>
  <c r="AT34"/>
  <c r="BE30"/>
  <c r="AL23"/>
  <c r="AM21"/>
  <c r="BN42"/>
  <c r="AK42"/>
  <c r="AP41"/>
  <c r="AW40"/>
  <c r="BC39"/>
  <c r="BN38"/>
  <c r="BJ37"/>
  <c r="AX35"/>
  <c r="BF33"/>
  <c r="AG31"/>
  <c r="AX26"/>
  <c r="AP23"/>
  <c r="BA20"/>
  <c r="AX15"/>
  <c r="AY9"/>
  <c r="AU20"/>
  <c r="BA42"/>
  <c r="AQ41"/>
  <c r="BB40"/>
  <c r="BI39"/>
  <c r="AH39"/>
  <c r="AU38"/>
  <c r="AU37"/>
  <c r="BA36"/>
  <c r="BM35"/>
  <c r="BE34"/>
  <c r="AL33"/>
  <c r="BG31"/>
  <c r="AQ29"/>
  <c r="AE21"/>
  <c r="BL42"/>
  <c r="AV42"/>
  <c r="BC40"/>
  <c r="AG40"/>
  <c r="AP39"/>
  <c r="BG38"/>
  <c r="AO38"/>
  <c r="BC37"/>
  <c r="BF36"/>
  <c r="BG35"/>
  <c r="BJ34"/>
  <c r="BB31"/>
  <c r="AZ30"/>
  <c r="BK27"/>
  <c r="AK24"/>
  <c r="AC20"/>
  <c r="BJ15"/>
  <c r="AK36"/>
  <c r="AK35"/>
  <c r="AP34"/>
  <c r="BC33"/>
  <c r="AU32"/>
  <c r="AD31"/>
  <c r="AL29"/>
  <c r="AJ28"/>
  <c r="AY26"/>
  <c r="BK24"/>
  <c r="AX23"/>
  <c r="BF21"/>
  <c r="BJ19"/>
  <c r="BF16"/>
  <c r="BL12"/>
  <c r="BD16"/>
  <c r="AN42"/>
  <c r="BN39"/>
  <c r="AN37"/>
  <c r="BN21"/>
  <c r="BJ32"/>
  <c r="AY31"/>
  <c r="AG30"/>
  <c r="AX28"/>
  <c r="AY24"/>
  <c r="AR21"/>
  <c r="AZ18"/>
  <c r="BJ6"/>
  <c r="AC22"/>
  <c r="AS35"/>
  <c r="BC34"/>
  <c r="BA33"/>
  <c r="BE32"/>
  <c r="BM31"/>
  <c r="AP30"/>
  <c r="AR29"/>
  <c r="AC28"/>
  <c r="BE25"/>
  <c r="BE24"/>
  <c r="AU23"/>
  <c r="BC20"/>
  <c r="BA12"/>
  <c r="BH4"/>
  <c r="AN36"/>
  <c r="AN29"/>
  <c r="AN23"/>
  <c r="BI20"/>
  <c r="AX33"/>
  <c r="AG33"/>
  <c r="AS32"/>
  <c r="AX31"/>
  <c r="AO30"/>
  <c r="AX29"/>
  <c r="BM27"/>
  <c r="BJ26"/>
  <c r="AT25"/>
  <c r="AX24"/>
  <c r="AD23"/>
  <c r="AD22"/>
  <c r="AX20"/>
  <c r="BB18"/>
  <c r="BN15"/>
  <c r="BN13"/>
  <c r="BF6"/>
  <c r="AT30"/>
  <c r="AP28"/>
  <c r="BC27"/>
  <c r="AT26"/>
  <c r="BB25"/>
  <c r="BG24"/>
  <c r="AG24"/>
  <c r="AK23"/>
  <c r="AG22"/>
  <c r="AS21"/>
  <c r="AS20"/>
  <c r="BN18"/>
  <c r="BK17"/>
  <c r="BC16"/>
  <c r="BF13"/>
  <c r="BK11"/>
  <c r="BN8"/>
  <c r="AX5"/>
  <c r="BE5"/>
  <c r="BI37"/>
  <c r="AK34"/>
  <c r="AW30"/>
  <c r="AW27"/>
  <c r="AK25"/>
  <c r="BI21"/>
  <c r="AW17"/>
  <c r="BI5"/>
  <c r="BI28"/>
  <c r="BI16"/>
  <c r="AA41"/>
  <c r="AY28"/>
  <c r="BL26"/>
  <c r="AV26"/>
  <c r="BG25"/>
  <c r="AF25"/>
  <c r="AS24"/>
  <c r="AS23"/>
  <c r="BC22"/>
  <c r="BK21"/>
  <c r="BM20"/>
  <c r="BM19"/>
  <c r="BE17"/>
  <c r="AY16"/>
  <c r="AZ14"/>
  <c r="BG12"/>
  <c r="AY10"/>
  <c r="AV8"/>
  <c r="BK6"/>
  <c r="AA29"/>
  <c r="BG9"/>
  <c r="AY3"/>
  <c r="AQ42"/>
  <c r="AA42"/>
  <c r="BD39"/>
  <c r="AM38"/>
  <c r="AZ35"/>
  <c r="AI34"/>
  <c r="BL31"/>
  <c r="AV31"/>
  <c r="AE30"/>
  <c r="BH27"/>
  <c r="AQ26"/>
  <c r="AA26"/>
  <c r="BD23"/>
  <c r="AM22"/>
  <c r="AZ19"/>
  <c r="BH15"/>
  <c r="BM13"/>
  <c r="BH11"/>
  <c r="BI9"/>
  <c r="BA7"/>
  <c r="BH5"/>
  <c r="AI40"/>
  <c r="BL37"/>
  <c r="AV37"/>
  <c r="AE36"/>
  <c r="BH33"/>
  <c r="AQ32"/>
  <c r="AA32"/>
  <c r="BD29"/>
  <c r="AM28"/>
  <c r="AZ25"/>
  <c r="AW6"/>
  <c r="BM6"/>
  <c r="BF7"/>
  <c r="AY8"/>
  <c r="BI10"/>
  <c r="AX11"/>
  <c r="BN11"/>
  <c r="AY5"/>
  <c r="AW7"/>
  <c r="BF8"/>
  <c r="BB9"/>
  <c r="BB10"/>
  <c r="BF12"/>
  <c r="BC13"/>
  <c r="AW5"/>
  <c r="BE4"/>
  <c r="AS7"/>
  <c r="AZ8"/>
  <c r="BH9"/>
  <c r="BM11"/>
  <c r="BL16"/>
  <c r="BD20"/>
  <c r="AA23"/>
  <c r="AQ23"/>
  <c r="BH24"/>
  <c r="AE27"/>
  <c r="AV28"/>
  <c r="BL28"/>
  <c r="AI31"/>
  <c r="AZ32"/>
  <c r="AM35"/>
  <c r="BD36"/>
  <c r="AA39"/>
  <c r="AQ39"/>
  <c r="BH40"/>
  <c r="AV41"/>
  <c r="BD4"/>
  <c r="AV6"/>
  <c r="AV9"/>
  <c r="BD11"/>
  <c r="BH17"/>
  <c r="AE20"/>
  <c r="AV21"/>
  <c r="BL21"/>
  <c r="AI24"/>
  <c r="BD25"/>
  <c r="AA28"/>
  <c r="AV29"/>
  <c r="AV33"/>
  <c r="AQ36"/>
  <c r="AQ40"/>
  <c r="BL4"/>
  <c r="BL6"/>
  <c r="AZ10"/>
  <c r="BD15"/>
  <c r="BD19"/>
  <c r="AA22"/>
  <c r="AV23"/>
  <c r="AV27"/>
  <c r="AQ30"/>
  <c r="AQ34"/>
  <c r="BL35"/>
  <c r="AI38"/>
  <c r="BH39"/>
  <c r="AI42"/>
  <c r="BL41"/>
  <c r="BD3"/>
  <c r="BK10"/>
  <c r="BA13"/>
  <c r="BL14"/>
  <c r="AW20"/>
  <c r="BA21"/>
  <c r="BG22"/>
  <c r="BI23"/>
  <c r="AB25"/>
  <c r="BM25"/>
  <c r="BD26"/>
  <c r="AW13"/>
  <c r="BI18"/>
  <c r="BI19"/>
  <c r="AK20"/>
  <c r="AW23"/>
  <c r="AW26"/>
  <c r="BI30"/>
  <c r="BI36"/>
  <c r="BJ4"/>
  <c r="BF5"/>
  <c r="AX10"/>
  <c r="AX13"/>
  <c r="BK16"/>
  <c r="BE18"/>
  <c r="BN19"/>
  <c r="BB21"/>
  <c r="AX22"/>
  <c r="BM23"/>
  <c r="BN24"/>
  <c r="BK26"/>
  <c r="AU27"/>
  <c r="AU28"/>
  <c r="BB29"/>
  <c r="AX4"/>
  <c r="BB13"/>
  <c r="BB16"/>
  <c r="BM18"/>
  <c r="BM21"/>
  <c r="BA23"/>
  <c r="BC26"/>
  <c r="AD28"/>
  <c r="BN29"/>
  <c r="AS31"/>
  <c r="AX32"/>
  <c r="AO33"/>
  <c r="BI3"/>
  <c r="AH24"/>
  <c r="BE28"/>
  <c r="AH33"/>
  <c r="BC24"/>
  <c r="AR25"/>
  <c r="AR26"/>
  <c r="BC29"/>
  <c r="AW15"/>
  <c r="BI4"/>
  <c r="AW11"/>
  <c r="AW21"/>
  <c r="BI25"/>
  <c r="AW29"/>
  <c r="AK32"/>
  <c r="AW38"/>
  <c r="BA4"/>
  <c r="AX8"/>
  <c r="AY12"/>
  <c r="BF14"/>
  <c r="BK15"/>
  <c r="BF17"/>
  <c r="AY19"/>
  <c r="BE20"/>
  <c r="AY23"/>
  <c r="AT24"/>
  <c r="AU25"/>
  <c r="BA26"/>
  <c r="AK27"/>
  <c r="BJ28"/>
  <c r="BB8"/>
  <c r="BN14"/>
  <c r="BJ17"/>
  <c r="BF20"/>
  <c r="BF22"/>
  <c r="AO24"/>
  <c r="BC25"/>
  <c r="AT27"/>
  <c r="BG28"/>
  <c r="AU30"/>
  <c r="BJ31"/>
  <c r="AC33"/>
  <c r="BI33"/>
  <c r="AN22"/>
  <c r="AI25"/>
  <c r="AO31"/>
  <c r="BK34"/>
  <c r="BG20"/>
  <c r="BK22"/>
  <c r="AN24"/>
  <c r="AN25"/>
  <c r="AB26"/>
  <c r="BH26"/>
  <c r="BK31"/>
  <c r="AW14"/>
  <c r="AW28"/>
  <c r="BI7"/>
  <c r="AK21"/>
  <c r="AW24"/>
  <c r="BI27"/>
  <c r="BI31"/>
  <c r="AK37"/>
  <c r="BG3"/>
  <c r="BN10"/>
  <c r="BA14"/>
  <c r="BC15"/>
  <c r="AX17"/>
  <c r="BJ18"/>
  <c r="AY20"/>
  <c r="BG21"/>
  <c r="BJ22"/>
  <c r="AL24"/>
  <c r="AD25"/>
  <c r="AG26"/>
  <c r="BJ27"/>
  <c r="BC28"/>
  <c r="BJ29"/>
  <c r="BJ5"/>
  <c r="AY14"/>
  <c r="BB17"/>
  <c r="BB19"/>
  <c r="AT22"/>
  <c r="BJ23"/>
  <c r="AG25"/>
  <c r="AG27"/>
  <c r="BA28"/>
  <c r="AD30"/>
  <c r="BC31"/>
  <c r="BN32"/>
  <c r="AS33"/>
  <c r="BI26"/>
  <c r="AY7"/>
  <c r="AY18"/>
  <c r="BK29"/>
  <c r="AU34"/>
  <c r="BF4"/>
  <c r="BS44"/>
  <c r="BS43"/>
  <c r="AO6"/>
  <c r="AD7"/>
  <c r="AR6"/>
  <c r="AR9"/>
  <c r="AR4"/>
  <c r="AS6"/>
  <c r="AT7"/>
  <c r="AS10"/>
  <c r="AU5"/>
  <c r="AU7"/>
  <c r="AT14"/>
  <c r="AS12"/>
  <c r="AU4"/>
  <c r="AR3"/>
  <c r="AU19"/>
  <c r="AR7"/>
  <c r="AS11"/>
  <c r="AU11"/>
  <c r="AU6"/>
  <c r="AS17"/>
  <c r="AS14"/>
  <c r="AT10"/>
  <c r="AU17"/>
  <c r="AS5"/>
  <c r="AS4"/>
  <c r="AU9"/>
  <c r="AR14"/>
  <c r="AR19"/>
  <c r="AS19"/>
  <c r="AT15"/>
  <c r="AR10"/>
  <c r="AU13"/>
  <c r="AS16"/>
  <c r="AS3"/>
  <c r="AT5"/>
  <c r="AT8"/>
  <c r="AT13"/>
  <c r="AU14"/>
  <c r="AT17"/>
  <c r="AR5"/>
  <c r="AS13"/>
  <c r="AU16"/>
  <c r="AR17"/>
  <c r="AU18"/>
  <c r="AT4"/>
  <c r="AT6"/>
  <c r="AU10"/>
  <c r="AS15"/>
  <c r="AR16"/>
  <c r="AS18"/>
  <c r="AS9"/>
  <c r="AU3"/>
  <c r="AR12"/>
  <c r="AU15"/>
  <c r="AT16"/>
  <c r="AT19"/>
  <c r="AR8"/>
  <c r="AU12"/>
  <c r="AT18"/>
  <c r="AT3"/>
  <c r="AR11"/>
  <c r="AR15"/>
  <c r="AR18"/>
  <c r="AC3"/>
  <c r="AD4"/>
  <c r="AK4"/>
  <c r="AD5"/>
  <c r="AO5"/>
  <c r="AL6"/>
  <c r="AL8"/>
  <c r="AG9"/>
  <c r="AF11"/>
  <c r="AB12"/>
  <c r="AG12"/>
  <c r="AB13"/>
  <c r="AF13"/>
  <c r="AJ13"/>
  <c r="AN13"/>
  <c r="AD14"/>
  <c r="AH14"/>
  <c r="AL14"/>
  <c r="AP14"/>
  <c r="AB16"/>
  <c r="AF16"/>
  <c r="AJ16"/>
  <c r="AN16"/>
  <c r="AC17"/>
  <c r="AG17"/>
  <c r="AK17"/>
  <c r="AO17"/>
  <c r="AD18"/>
  <c r="AH18"/>
  <c r="AL18"/>
  <c r="AP18"/>
  <c r="AO4"/>
  <c r="AG5"/>
  <c r="AQ7"/>
  <c r="AH8"/>
  <c r="AO9"/>
  <c r="AD10"/>
  <c r="AP10"/>
  <c r="AI11"/>
  <c r="AH13"/>
  <c r="AJ14"/>
  <c r="AO15"/>
  <c r="AH16"/>
  <c r="AI17"/>
  <c r="AF18"/>
  <c r="AK19"/>
  <c r="AH3"/>
  <c r="AC4"/>
  <c r="AJ4"/>
  <c r="AP4"/>
  <c r="AC5"/>
  <c r="AH5"/>
  <c r="AN5"/>
  <c r="AD6"/>
  <c r="AJ6"/>
  <c r="AK7"/>
  <c r="AD8"/>
  <c r="AJ8"/>
  <c r="AF9"/>
  <c r="AK9"/>
  <c r="AJ10"/>
  <c r="AJ11"/>
  <c r="AF12"/>
  <c r="AK12"/>
  <c r="AC14"/>
  <c r="AG14"/>
  <c r="AK14"/>
  <c r="AO14"/>
  <c r="AD15"/>
  <c r="AH15"/>
  <c r="AL15"/>
  <c r="AP15"/>
  <c r="AB17"/>
  <c r="AF17"/>
  <c r="AJ17"/>
  <c r="AN17"/>
  <c r="AC18"/>
  <c r="AG18"/>
  <c r="AK18"/>
  <c r="AO18"/>
  <c r="AD19"/>
  <c r="AH19"/>
  <c r="AL19"/>
  <c r="AP19"/>
  <c r="AO3"/>
  <c r="AN3"/>
  <c r="AB4"/>
  <c r="AL5"/>
  <c r="AB6"/>
  <c r="AP6"/>
  <c r="AJ7"/>
  <c r="AC8"/>
  <c r="AO8"/>
  <c r="AJ9"/>
  <c r="AO11"/>
  <c r="AJ12"/>
  <c r="AP13"/>
  <c r="AN14"/>
  <c r="AC15"/>
  <c r="AK15"/>
  <c r="AP16"/>
  <c r="AM17"/>
  <c r="AB18"/>
  <c r="AJ18"/>
  <c r="AG19"/>
  <c r="AD3"/>
  <c r="AK5"/>
  <c r="AP5"/>
  <c r="AO7"/>
  <c r="AG8"/>
  <c r="AC9"/>
  <c r="AB10"/>
  <c r="AH10"/>
  <c r="AB11"/>
  <c r="AG11"/>
  <c r="AN11"/>
  <c r="AC12"/>
  <c r="AN12"/>
  <c r="AC13"/>
  <c r="AG13"/>
  <c r="AK13"/>
  <c r="AO13"/>
  <c r="AB15"/>
  <c r="AF15"/>
  <c r="AJ15"/>
  <c r="AN15"/>
  <c r="AC16"/>
  <c r="AG16"/>
  <c r="AK16"/>
  <c r="AO16"/>
  <c r="AD17"/>
  <c r="AH17"/>
  <c r="AL17"/>
  <c r="AP17"/>
  <c r="AB19"/>
  <c r="AF19"/>
  <c r="AJ19"/>
  <c r="AN19"/>
  <c r="AF3"/>
  <c r="AH4"/>
  <c r="AB5"/>
  <c r="AI6"/>
  <c r="AC7"/>
  <c r="AE9"/>
  <c r="AI10"/>
  <c r="AC11"/>
  <c r="AE12"/>
  <c r="AO12"/>
  <c r="AD13"/>
  <c r="AL13"/>
  <c r="AB14"/>
  <c r="AF14"/>
  <c r="AG15"/>
  <c r="AD16"/>
  <c r="AL16"/>
  <c r="AA17"/>
  <c r="AE17"/>
  <c r="AQ17"/>
  <c r="AN18"/>
  <c r="AC19"/>
  <c r="AO19"/>
  <c r="AO10"/>
  <c r="AD11"/>
  <c r="AG6"/>
  <c r="AE8"/>
  <c r="AK10"/>
  <c r="AM7"/>
  <c r="AK8"/>
  <c r="AI4"/>
  <c r="AJ5"/>
  <c r="AA8"/>
  <c r="AA10"/>
  <c r="AA11"/>
  <c r="AI15"/>
  <c r="AA19"/>
  <c r="AC6"/>
  <c r="AH7"/>
  <c r="AQ8"/>
  <c r="AG10"/>
  <c r="AL11"/>
  <c r="AG4"/>
  <c r="AM6"/>
  <c r="AG7"/>
  <c r="AP9"/>
  <c r="AQ10"/>
  <c r="AQ11"/>
  <c r="AD12"/>
  <c r="AK3"/>
  <c r="AE6"/>
  <c r="AM9"/>
  <c r="AE15"/>
  <c r="AM19"/>
  <c r="AQ3"/>
  <c r="AA9"/>
  <c r="AE10"/>
  <c r="AM13"/>
  <c r="AA16"/>
  <c r="AQ16"/>
  <c r="AE4"/>
  <c r="AP3"/>
  <c r="AF4"/>
  <c r="AN6"/>
  <c r="AA14"/>
  <c r="AI18"/>
  <c r="AE5"/>
  <c r="AF7"/>
  <c r="AQ14"/>
  <c r="AM8"/>
  <c r="AC10"/>
  <c r="AH11"/>
  <c r="AL9"/>
  <c r="AL10"/>
  <c r="AK11"/>
  <c r="AP12"/>
  <c r="AG3"/>
  <c r="AB9"/>
  <c r="AM10"/>
  <c r="AA15"/>
  <c r="AQ15"/>
  <c r="AI19"/>
  <c r="AI3"/>
  <c r="AE11"/>
  <c r="AQ12"/>
  <c r="AI13"/>
  <c r="AM16"/>
  <c r="AQ4"/>
  <c r="AL3"/>
  <c r="AA4"/>
  <c r="AF6"/>
  <c r="AB7"/>
  <c r="AN8"/>
  <c r="AI12"/>
  <c r="AM14"/>
  <c r="AE18"/>
  <c r="AB3"/>
  <c r="AA7"/>
  <c r="AI8"/>
  <c r="AP8"/>
  <c r="AL12"/>
  <c r="AF8"/>
  <c r="AF10"/>
  <c r="AM11"/>
  <c r="AM12"/>
  <c r="AM15"/>
  <c r="AE19"/>
  <c r="AQ6"/>
  <c r="AE7"/>
  <c r="AA12"/>
  <c r="AE13"/>
  <c r="AI16"/>
  <c r="AM5"/>
  <c r="AH6"/>
  <c r="AM3"/>
  <c r="AF5"/>
  <c r="AA6"/>
  <c r="AB8"/>
  <c r="AN9"/>
  <c r="AN10"/>
  <c r="AI14"/>
  <c r="AA18"/>
  <c r="AQ18"/>
  <c r="AM4"/>
  <c r="AN7"/>
  <c r="AK6"/>
  <c r="AP7"/>
  <c r="AH9"/>
  <c r="AL7"/>
  <c r="AP11"/>
  <c r="AL4"/>
  <c r="AQ5"/>
  <c r="AH12"/>
  <c r="AQ19"/>
  <c r="AQ9"/>
  <c r="AA13"/>
  <c r="AQ13"/>
  <c r="AE16"/>
  <c r="AI5"/>
  <c r="AD9"/>
  <c r="AE3"/>
  <c r="AN4"/>
  <c r="AA5"/>
  <c r="AI9"/>
  <c r="AE14"/>
  <c r="AM18"/>
  <c r="AI7"/>
  <c r="AJ3"/>
  <c r="BR5"/>
  <c r="BR17"/>
  <c r="BR16"/>
  <c r="BR19"/>
  <c r="BR18"/>
  <c r="BR14"/>
  <c r="BR10"/>
  <c r="BR6"/>
  <c r="BR15"/>
  <c r="BR11"/>
  <c r="BR7"/>
  <c r="BR3"/>
  <c r="BR12"/>
  <c r="BR8"/>
  <c r="BR4"/>
  <c r="BR13"/>
  <c r="BR9"/>
  <c r="AA3"/>
  <c r="BS39" l="1"/>
  <c r="BS22"/>
  <c r="BS26"/>
  <c r="BS30"/>
  <c r="BS29"/>
  <c r="BV29" s="1"/>
  <c r="BS25"/>
  <c r="BS41"/>
  <c r="BS23"/>
  <c r="BS33"/>
  <c r="BS36"/>
  <c r="BV36" s="1"/>
  <c r="BS35"/>
  <c r="BV35" s="1"/>
  <c r="BS40"/>
  <c r="BS38"/>
  <c r="BS24"/>
  <c r="BS32"/>
  <c r="BS42"/>
  <c r="BS31"/>
  <c r="BS20"/>
  <c r="BS34"/>
  <c r="BV34" s="1"/>
  <c r="BS28"/>
  <c r="BS37"/>
  <c r="BV37" s="1"/>
  <c r="BS21"/>
  <c r="BS27"/>
  <c r="BS17"/>
  <c r="BV17" s="1"/>
  <c r="BS19"/>
  <c r="BS18"/>
  <c r="BS16"/>
  <c r="BV16" s="1"/>
  <c r="BS13"/>
  <c r="BV13" s="1"/>
  <c r="BS10"/>
  <c r="BV10" s="1"/>
  <c r="BS3"/>
  <c r="BS12"/>
  <c r="BV12" s="1"/>
  <c r="BS4"/>
  <c r="BS11"/>
  <c r="BV11" s="1"/>
  <c r="BS8"/>
  <c r="BV8" s="1"/>
  <c r="BS7"/>
  <c r="BV7" s="1"/>
  <c r="BS14"/>
  <c r="BV14" s="1"/>
  <c r="BS5"/>
  <c r="BV5" s="1"/>
  <c r="BS9"/>
  <c r="BV9" s="1"/>
  <c r="BS6"/>
  <c r="BV6" s="1"/>
  <c r="BS15"/>
  <c r="BV15" s="1"/>
  <c r="BS1" l="1"/>
  <c r="BT6" l="1"/>
  <c r="BU6" s="1"/>
  <c r="BX6" s="1"/>
  <c r="BT16"/>
  <c r="BU16" s="1"/>
  <c r="BX16" s="1"/>
  <c r="BT13"/>
  <c r="BU13" s="1"/>
  <c r="BX13" s="1"/>
  <c r="BT10"/>
  <c r="BU10" s="1"/>
  <c r="BX10" s="1"/>
  <c r="BT7"/>
  <c r="BU7" s="1"/>
  <c r="BX7" s="1"/>
  <c r="BT17"/>
  <c r="BU17" s="1"/>
  <c r="BX17" s="1"/>
  <c r="BT14"/>
  <c r="BU14" s="1"/>
  <c r="BX14" s="1"/>
  <c r="BT11"/>
  <c r="BU11" s="1"/>
  <c r="BX11" s="1"/>
  <c r="BT8"/>
  <c r="BU8" s="1"/>
  <c r="BX8" s="1"/>
  <c r="BT5"/>
  <c r="BU5" s="1"/>
  <c r="BX5" s="1"/>
  <c r="BT15"/>
  <c r="BU15" s="1"/>
  <c r="BX15" s="1"/>
  <c r="BT12"/>
  <c r="BU12" s="1"/>
  <c r="BX12" s="1"/>
  <c r="BT9"/>
  <c r="BU9" s="1"/>
  <c r="BX9" s="1"/>
  <c r="BT21"/>
  <c r="BU21" s="1"/>
  <c r="BX21" s="1"/>
  <c r="BT25"/>
  <c r="BU25" s="1"/>
  <c r="BX25" s="1"/>
  <c r="BT29"/>
  <c r="BU29" s="1"/>
  <c r="BX29" s="1"/>
  <c r="BT33"/>
  <c r="BT37"/>
  <c r="BU37" s="1"/>
  <c r="BT41"/>
  <c r="BU41" s="1"/>
  <c r="BT20"/>
  <c r="BU20" s="1"/>
  <c r="BX20" s="1"/>
  <c r="BT24"/>
  <c r="BU24" s="1"/>
  <c r="BX24" s="1"/>
  <c r="BT28"/>
  <c r="BU28" s="1"/>
  <c r="BX28" s="1"/>
  <c r="BT32"/>
  <c r="BU32" s="1"/>
  <c r="BT36"/>
  <c r="BU36" s="1"/>
  <c r="BT40"/>
  <c r="BT3"/>
  <c r="BU3" s="1"/>
  <c r="BX3" s="1"/>
  <c r="BT19"/>
  <c r="BU19" s="1"/>
  <c r="BX19" s="1"/>
  <c r="BT23"/>
  <c r="BU23" s="1"/>
  <c r="BX23" s="1"/>
  <c r="BT27"/>
  <c r="BT31"/>
  <c r="BU31" s="1"/>
  <c r="BT35"/>
  <c r="BU35" s="1"/>
  <c r="BT39"/>
  <c r="BU39" s="1"/>
  <c r="BT18"/>
  <c r="BU18" s="1"/>
  <c r="BX18" s="1"/>
  <c r="BT22"/>
  <c r="BU22" s="1"/>
  <c r="BX22" s="1"/>
  <c r="BT26"/>
  <c r="BU26" s="1"/>
  <c r="BX26" s="1"/>
  <c r="BT30"/>
  <c r="BU30" s="1"/>
  <c r="BX30" s="1"/>
  <c r="BT34"/>
  <c r="BT38"/>
  <c r="BU38" s="1"/>
  <c r="BT42"/>
  <c r="BU42" s="1"/>
  <c r="BT4"/>
  <c r="BU4" s="1"/>
  <c r="BX4" s="1"/>
  <c r="F39"/>
  <c r="BU33"/>
  <c r="BU34"/>
  <c r="BU40"/>
  <c r="BU27"/>
  <c r="BX27" s="1"/>
  <c r="F35"/>
  <c r="F31"/>
  <c r="F36"/>
  <c r="F42"/>
  <c r="F40"/>
  <c r="F41"/>
  <c r="F27"/>
  <c r="F38"/>
  <c r="F30"/>
  <c r="F26"/>
  <c r="F34"/>
  <c r="F33"/>
  <c r="F28"/>
  <c r="F32"/>
  <c r="F29"/>
  <c r="F37"/>
  <c r="F24"/>
  <c r="BU1"/>
  <c r="B1" s="1"/>
  <c r="D6" s="1"/>
  <c r="F23"/>
  <c r="F25"/>
  <c r="F19"/>
  <c r="F18"/>
  <c r="F22"/>
  <c r="F17"/>
  <c r="F21"/>
  <c r="F16"/>
  <c r="F20"/>
  <c r="F7"/>
  <c r="F11"/>
  <c r="F15"/>
  <c r="F6"/>
  <c r="F4"/>
  <c r="F8"/>
  <c r="F12"/>
  <c r="F13"/>
  <c r="F3"/>
  <c r="F10"/>
  <c r="F9"/>
  <c r="F5"/>
  <c r="F14"/>
  <c r="D4" l="1"/>
  <c r="D19"/>
  <c r="D29"/>
  <c r="D30" s="1"/>
  <c r="D22"/>
  <c r="D23"/>
  <c r="D20"/>
  <c r="D26"/>
  <c r="D27"/>
  <c r="D24"/>
  <c r="D21"/>
  <c r="D28"/>
  <c r="D25"/>
  <c r="D8"/>
  <c r="D13"/>
  <c r="D7"/>
  <c r="D12"/>
  <c r="D17"/>
  <c r="D18" s="1"/>
  <c r="D14"/>
  <c r="D11"/>
  <c r="D16"/>
  <c r="D3"/>
  <c r="D5"/>
  <c r="D15"/>
  <c r="D9"/>
  <c r="D10" s="1"/>
  <c r="BW3"/>
  <c r="BW36"/>
  <c r="BW35"/>
  <c r="BW37"/>
  <c r="BW34"/>
  <c r="BW33"/>
  <c r="BW29"/>
  <c r="BW5"/>
  <c r="BW6"/>
  <c r="BW7"/>
  <c r="BW8"/>
  <c r="BW9"/>
  <c r="BW10"/>
  <c r="BW11"/>
  <c r="BW12"/>
  <c r="BW13"/>
  <c r="BW14"/>
  <c r="BW15"/>
  <c r="BW16"/>
  <c r="BW17"/>
  <c r="H45"/>
  <c r="H44"/>
  <c r="H43"/>
  <c r="G20" l="1"/>
  <c r="H20" s="1"/>
  <c r="G23"/>
  <c r="H23" s="1"/>
  <c r="G22"/>
  <c r="H22" s="1"/>
  <c r="G24"/>
  <c r="H24" s="1"/>
  <c r="G27"/>
  <c r="H27" s="1"/>
  <c r="G26"/>
  <c r="H26" s="1"/>
  <c r="G29"/>
  <c r="H29" s="1"/>
  <c r="G28"/>
  <c r="H28" s="1"/>
  <c r="G30"/>
  <c r="H30" s="1"/>
  <c r="G32"/>
  <c r="H32" s="1"/>
  <c r="G31"/>
  <c r="H31" s="1"/>
  <c r="G34"/>
  <c r="H34" s="1"/>
  <c r="G33"/>
  <c r="H33" s="1"/>
  <c r="G36"/>
  <c r="H36" s="1"/>
  <c r="G35"/>
  <c r="H35" s="1"/>
  <c r="G38"/>
  <c r="H38" s="1"/>
  <c r="G37"/>
  <c r="H37" s="1"/>
  <c r="G40"/>
  <c r="H40" s="1"/>
  <c r="G39"/>
  <c r="H39" s="1"/>
  <c r="G41"/>
  <c r="H41" s="1"/>
  <c r="G42"/>
  <c r="H42" s="1"/>
  <c r="G3"/>
  <c r="H3" s="1"/>
  <c r="G25"/>
  <c r="H25" s="1"/>
  <c r="G21"/>
  <c r="H21" s="1"/>
  <c r="G13" l="1"/>
  <c r="H13" s="1"/>
  <c r="G11"/>
  <c r="H11" s="1"/>
  <c r="G14"/>
  <c r="H14" s="1"/>
  <c r="G15"/>
  <c r="H15" s="1"/>
  <c r="G5"/>
  <c r="H5" s="1"/>
  <c r="G18"/>
  <c r="H18" s="1"/>
  <c r="G19"/>
  <c r="H19" s="1"/>
  <c r="G9"/>
  <c r="H9" s="1"/>
  <c r="G4"/>
  <c r="H4" s="1"/>
  <c r="G17"/>
  <c r="H17" s="1"/>
  <c r="G8"/>
  <c r="H8" s="1"/>
  <c r="G12"/>
  <c r="H12" s="1"/>
  <c r="G16"/>
  <c r="H16" s="1"/>
  <c r="G7"/>
  <c r="H7" s="1"/>
  <c r="G10" l="1"/>
  <c r="H10" s="1"/>
  <c r="G6"/>
  <c r="H6" s="1"/>
</calcChain>
</file>

<file path=xl/sharedStrings.xml><?xml version="1.0" encoding="utf-8"?>
<sst xmlns="http://schemas.openxmlformats.org/spreadsheetml/2006/main" count="40" uniqueCount="40">
  <si>
    <t>Driver</t>
  </si>
  <si>
    <t>Points</t>
  </si>
  <si>
    <t>DNS?</t>
  </si>
  <si>
    <t>SOF =</t>
  </si>
  <si>
    <t>Expected Average Finish Position</t>
  </si>
  <si>
    <t>Fudge Factor</t>
  </si>
  <si>
    <t>SOF Exponential</t>
  </si>
  <si>
    <t>Expected Score - Non Starters</t>
  </si>
  <si>
    <t>iRating Ranking</t>
  </si>
  <si>
    <t>Notes</t>
  </si>
  <si>
    <t>2) If a driver does not start the race then enter a "y" against that driver in column C</t>
  </si>
  <si>
    <t xml:space="preserve">4) The SOF value displayed in some official results differs from that shown for the race in the driver stats screen or the  </t>
  </si>
  <si>
    <t xml:space="preserve">     Since higher rated drivers will occasionally crash out, suffer an internet disconnection, etc their average finish position</t>
  </si>
  <si>
    <t xml:space="preserve">     will be somewhat lower than their iRating ranking. This also means that the lower rated drivers will have an average </t>
  </si>
  <si>
    <t xml:space="preserve">     finish higher than their iRating ranking. If this seems wrong to you and you want to learn something then probability </t>
  </si>
  <si>
    <t xml:space="preserve">1) Enter the PRE-RACE iRatings of the drivers in column B (hint: if you want to use the values from a race then use the CSV </t>
  </si>
  <si>
    <t xml:space="preserve">     export for the race and cut &amp; paste the values from the "Old iRating" column)</t>
  </si>
  <si>
    <t xml:space="preserve">     - this applies for drivers who forfeit the race but also those who enter the server but don't race</t>
  </si>
  <si>
    <t>Old iRating</t>
  </si>
  <si>
    <t>New iRating</t>
  </si>
  <si>
    <t>iRating Change</t>
  </si>
  <si>
    <t xml:space="preserve">     - it can also apply for drivers who crash out on the pace lap, at the very start and even in turn 1 at some tracks (I'm not</t>
  </si>
  <si>
    <t xml:space="preserve">        completely different or track dependant)</t>
  </si>
  <si>
    <t xml:space="preserve">        sure of the exact criteria; "before the pit exit" would fit the specific examples I am aware of, but it might be</t>
  </si>
  <si>
    <t>5) The points figure assumes all drivers who started the race completed at least one lap. In practice, drivers who fail to</t>
  </si>
  <si>
    <t xml:space="preserve">     finish a single lap score zero points</t>
  </si>
  <si>
    <t>6) The "Expected Average Finish Position" for a driver is what would be expected if the same race were run many times.</t>
  </si>
  <si>
    <t xml:space="preserve">     - make sure you delete any old DNS entries from a previous race!</t>
  </si>
  <si>
    <t xml:space="preserve">     - drivers who do not start the race do not affect the SOF but they do affect the iRating changes; typically the changes</t>
  </si>
  <si>
    <t xml:space="preserve">       for the other drivers will be somewhat larger than if the DNS driver(s) had raced</t>
  </si>
  <si>
    <t xml:space="preserve">     theory is a fascinating and sometimes counter-intuitive subject :)</t>
  </si>
  <si>
    <t>Expected Score</t>
  </si>
  <si>
    <t xml:space="preserve">     series results listings. For such races the SOF calculated by this spreadsheet will match the driver / series value. It</t>
  </si>
  <si>
    <t>3) The formulas used in this spreadsheet are NOT the official ones so you may see small differences. These should typically</t>
  </si>
  <si>
    <t xml:space="preserve">     finished and hence their iRating when starting the new race had not been updated with the result of the previous one</t>
  </si>
  <si>
    <t xml:space="preserve">     appears that the discrepancy in the SOFs is caused by drivers starting a new race before their previous one has </t>
  </si>
  <si>
    <t>Change - Starters Only</t>
  </si>
  <si>
    <t>Change - Non Starters</t>
  </si>
  <si>
    <t>Change</t>
  </si>
  <si>
    <t xml:space="preserve">     be within +/-1 of the official values but may be larger on occasions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</si>
</sst>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1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2" fontId="0" fillId="0" borderId="0" xfId="0" applyNumberFormat="1" applyAlignment="1" applyProtection="1">
      <alignment horizontal="left"/>
      <protection hidden="1"/>
    </xf>
    <xf numFmtId="1" fontId="0" fillId="0" borderId="0" xfId="0" applyNumberFormat="1" applyAlignment="1" applyProtection="1">
      <alignment horizontal="right" wrapText="1"/>
      <protection hidden="1"/>
    </xf>
    <xf numFmtId="165" fontId="0" fillId="0" borderId="0" xfId="0" applyNumberFormat="1" applyAlignment="1" applyProtection="1">
      <alignment horizontal="right" wrapText="1"/>
      <protection hidden="1"/>
    </xf>
    <xf numFmtId="164" fontId="0" fillId="0" borderId="0" xfId="0" applyNumberFormat="1" applyProtection="1">
      <protection hidden="1"/>
    </xf>
    <xf numFmtId="0" fontId="0" fillId="0" borderId="0" xfId="0" applyProtection="1">
      <protection locked="0"/>
    </xf>
    <xf numFmtId="1" fontId="1" fillId="0" borderId="0" xfId="0" applyNumberFormat="1" applyFont="1" applyAlignment="1" applyProtection="1">
      <alignment horizontal="right"/>
      <protection hidden="1"/>
    </xf>
    <xf numFmtId="165" fontId="1" fillId="0" borderId="0" xfId="0" applyNumberFormat="1" applyFont="1" applyAlignment="1" applyProtection="1">
      <alignment horizontal="right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BX46"/>
  <sheetViews>
    <sheetView tabSelected="1" zoomScaleNormal="100" workbookViewId="0">
      <pane ySplit="2" topLeftCell="A3" activePane="bottomLeft" state="frozen"/>
      <selection pane="bottomLeft" activeCell="B11" sqref="B11:B30"/>
    </sheetView>
  </sheetViews>
  <sheetFormatPr defaultRowHeight="15"/>
  <cols>
    <col min="1" max="3" width="9.140625" style="1"/>
    <col min="4" max="4" width="9.140625" style="4"/>
    <col min="5" max="5" width="9.140625" style="3"/>
    <col min="6" max="6" width="9.140625" style="4"/>
    <col min="7" max="7" width="10.5703125" style="4" bestFit="1" customWidth="1"/>
    <col min="8" max="8" width="9.140625" style="4"/>
    <col min="9" max="26" width="10.5703125" style="3" customWidth="1"/>
    <col min="27" max="69" width="5" style="5" hidden="1" customWidth="1"/>
    <col min="70" max="70" width="11.5703125" style="9" hidden="1" customWidth="1"/>
    <col min="71" max="71" width="10.140625" style="5" hidden="1" customWidth="1"/>
    <col min="72" max="75" width="9.140625" style="5" hidden="1" customWidth="1"/>
    <col min="76" max="76" width="9.140625" style="1" hidden="1" customWidth="1"/>
    <col min="77" max="78" width="0" style="1" hidden="1" customWidth="1"/>
    <col min="79" max="81" width="9.140625" style="1"/>
    <col min="82" max="82" width="9.140625" style="1" customWidth="1"/>
    <col min="83" max="16384" width="9.140625" style="1"/>
  </cols>
  <sheetData>
    <row r="1" spans="1:76" ht="15.75">
      <c r="A1" s="11" t="s">
        <v>3</v>
      </c>
      <c r="B1" s="12">
        <f>BU1</f>
        <v>2493.9802440764756</v>
      </c>
      <c r="BR1" s="6">
        <f>1600/LN(2)</f>
        <v>2308.3120654223417</v>
      </c>
      <c r="BS1" s="2">
        <f>COUNTIF(B3:B45,"&gt;-1")</f>
        <v>28</v>
      </c>
      <c r="BT1" s="2">
        <f>COUNTIF(C3:C45,"=y")</f>
        <v>0</v>
      </c>
      <c r="BU1" s="6">
        <f>BR1*LN($BS$1/SUM(BR3:BR45))</f>
        <v>2493.9802440764756</v>
      </c>
      <c r="BV1" s="6"/>
      <c r="BW1" s="6"/>
    </row>
    <row r="2" spans="1:76" s="7" customFormat="1" ht="60.75" customHeight="1">
      <c r="A2" s="7" t="s">
        <v>0</v>
      </c>
      <c r="B2" s="7" t="s">
        <v>18</v>
      </c>
      <c r="C2" s="7" t="s">
        <v>2</v>
      </c>
      <c r="D2" s="8" t="s">
        <v>1</v>
      </c>
      <c r="E2" s="7" t="s">
        <v>8</v>
      </c>
      <c r="F2" s="8" t="s">
        <v>4</v>
      </c>
      <c r="G2" s="8" t="s">
        <v>20</v>
      </c>
      <c r="H2" s="8" t="s">
        <v>19</v>
      </c>
      <c r="J2" s="7" t="s">
        <v>9</v>
      </c>
      <c r="AA2" s="7">
        <f>IF(INDEX($B$3:$B$98,COLUMN(A2))="","",INDEX($B$3:$B$98,COLUMN(A2)))</f>
        <v>7526</v>
      </c>
      <c r="AB2" s="7">
        <f t="shared" ref="AB2:BQ2" si="0">IF(INDEX($B$3:$B$98,COLUMN(B2))="","",INDEX($B$3:$B$98,COLUMN(B2)))</f>
        <v>5982</v>
      </c>
      <c r="AC2" s="7">
        <f t="shared" si="0"/>
        <v>5463</v>
      </c>
      <c r="AD2" s="7">
        <f t="shared" si="0"/>
        <v>4279</v>
      </c>
      <c r="AE2" s="7">
        <f t="shared" si="0"/>
        <v>4137</v>
      </c>
      <c r="AF2" s="7">
        <f t="shared" si="0"/>
        <v>4044</v>
      </c>
      <c r="AG2" s="7">
        <f t="shared" si="0"/>
        <v>3891</v>
      </c>
      <c r="AH2" s="7">
        <f t="shared" si="0"/>
        <v>3612</v>
      </c>
      <c r="AI2" s="7">
        <f t="shared" si="0"/>
        <v>3147</v>
      </c>
      <c r="AJ2" s="7">
        <f t="shared" si="0"/>
        <v>2823</v>
      </c>
      <c r="AK2" s="7">
        <f t="shared" si="0"/>
        <v>2715</v>
      </c>
      <c r="AL2" s="7">
        <f t="shared" si="0"/>
        <v>2603</v>
      </c>
      <c r="AM2" s="7">
        <f t="shared" si="0"/>
        <v>2512</v>
      </c>
      <c r="AN2" s="7">
        <f t="shared" si="0"/>
        <v>2352</v>
      </c>
      <c r="AO2" s="7">
        <f t="shared" si="0"/>
        <v>2227</v>
      </c>
      <c r="AP2" s="7">
        <f t="shared" si="0"/>
        <v>2195</v>
      </c>
      <c r="AQ2" s="7">
        <f t="shared" si="0"/>
        <v>2166</v>
      </c>
      <c r="AR2" s="7">
        <f t="shared" si="0"/>
        <v>2089</v>
      </c>
      <c r="AS2" s="7">
        <f t="shared" si="0"/>
        <v>1773</v>
      </c>
      <c r="AT2" s="7">
        <f t="shared" si="0"/>
        <v>1772</v>
      </c>
      <c r="AU2" s="7">
        <f t="shared" si="0"/>
        <v>1752</v>
      </c>
      <c r="AV2" s="7">
        <f t="shared" si="0"/>
        <v>1748</v>
      </c>
      <c r="AW2" s="7">
        <f t="shared" si="0"/>
        <v>1705</v>
      </c>
      <c r="AX2" s="7">
        <f t="shared" si="0"/>
        <v>1662</v>
      </c>
      <c r="AY2" s="7">
        <f t="shared" si="0"/>
        <v>1622</v>
      </c>
      <c r="AZ2" s="7">
        <f t="shared" si="0"/>
        <v>1537</v>
      </c>
      <c r="BA2" s="7">
        <f t="shared" si="0"/>
        <v>1464</v>
      </c>
      <c r="BB2" s="7">
        <f t="shared" si="0"/>
        <v>1203</v>
      </c>
      <c r="BC2" s="7" t="str">
        <f t="shared" si="0"/>
        <v/>
      </c>
      <c r="BD2" s="7" t="str">
        <f t="shared" si="0"/>
        <v/>
      </c>
      <c r="BE2" s="7" t="str">
        <f t="shared" si="0"/>
        <v/>
      </c>
      <c r="BF2" s="7" t="str">
        <f t="shared" si="0"/>
        <v/>
      </c>
      <c r="BG2" s="7" t="str">
        <f t="shared" si="0"/>
        <v/>
      </c>
      <c r="BH2" s="7" t="str">
        <f t="shared" si="0"/>
        <v/>
      </c>
      <c r="BI2" s="7" t="str">
        <f t="shared" si="0"/>
        <v/>
      </c>
      <c r="BJ2" s="7" t="str">
        <f t="shared" si="0"/>
        <v/>
      </c>
      <c r="BK2" s="7" t="str">
        <f t="shared" si="0"/>
        <v/>
      </c>
      <c r="BL2" s="7" t="str">
        <f t="shared" si="0"/>
        <v/>
      </c>
      <c r="BM2" s="7" t="str">
        <f t="shared" si="0"/>
        <v/>
      </c>
      <c r="BN2" s="7" t="str">
        <f t="shared" si="0"/>
        <v/>
      </c>
      <c r="BO2" s="7" t="str">
        <f t="shared" si="0"/>
        <v/>
      </c>
      <c r="BP2" s="7" t="str">
        <f t="shared" si="0"/>
        <v/>
      </c>
      <c r="BQ2" s="7" t="str">
        <f t="shared" si="0"/>
        <v/>
      </c>
      <c r="BR2" s="7" t="s">
        <v>6</v>
      </c>
      <c r="BS2" s="7" t="s">
        <v>31</v>
      </c>
      <c r="BT2" s="7" t="s">
        <v>5</v>
      </c>
      <c r="BU2" s="7" t="s">
        <v>36</v>
      </c>
      <c r="BV2" s="7" t="s">
        <v>7</v>
      </c>
      <c r="BW2" s="7" t="s">
        <v>37</v>
      </c>
      <c r="BX2" s="7" t="s">
        <v>38</v>
      </c>
    </row>
    <row r="3" spans="1:76">
      <c r="A3" s="1">
        <v>1</v>
      </c>
      <c r="B3" s="10">
        <v>7526</v>
      </c>
      <c r="C3" s="10"/>
      <c r="D3" s="4">
        <f>IF($B3="","",IF(C3="y",0,IF($B4="",0.5*1.06*B$1/16,($BS$1/($BS$1+1)*1.06*B$1/16*($BS$1-$A3)/($BS$1-1)))))</f>
        <v>159.52873630213321</v>
      </c>
      <c r="E3" s="3">
        <f>IF(B3="","",RANK(B3,B$3:B$45))</f>
        <v>1</v>
      </c>
      <c r="F3" s="4">
        <f t="shared" ref="F3:F45" si="1">IF(B3="","",$BS$1-BS3)</f>
        <v>3.5084557237872538</v>
      </c>
      <c r="G3" s="4">
        <f t="shared" ref="G3:G45" si="2">IF(B3="","",BX3)</f>
        <v>16.988969455623241</v>
      </c>
      <c r="H3" s="4">
        <f t="shared" ref="H3:H45" si="3">IF(B3="","",B3+G3)</f>
        <v>7542.9889694556232</v>
      </c>
      <c r="J3" s="3" t="s">
        <v>15</v>
      </c>
      <c r="AA3" s="5">
        <f t="shared" ref="AA3:AJ12" si="4">IF(OR($B3="",AA$2=""),"",(1-EXP(-$B3/$BR$1))*EXP(-AA$2/$BR$1)/((1-EXP(-AA$2/$BR$1))*EXP(-$B3/$BR$1)+(1-EXP(-$B3/$BR$1))*EXP(-AA$2/$BR$1)))</f>
        <v>0.5</v>
      </c>
      <c r="AB3" s="5">
        <f t="shared" si="4"/>
        <v>0.66987490111568371</v>
      </c>
      <c r="AC3" s="5">
        <f t="shared" si="4"/>
        <v>0.72173521181898614</v>
      </c>
      <c r="AD3" s="5">
        <f t="shared" si="4"/>
        <v>0.82315935791692707</v>
      </c>
      <c r="AE3" s="5">
        <f t="shared" si="4"/>
        <v>0.83358806042822242</v>
      </c>
      <c r="AF3" s="5">
        <f t="shared" si="4"/>
        <v>0.84021303757736665</v>
      </c>
      <c r="AG3" s="5">
        <f t="shared" si="4"/>
        <v>0.85076072515529821</v>
      </c>
      <c r="AH3" s="5">
        <f t="shared" si="4"/>
        <v>0.86888193378317913</v>
      </c>
      <c r="AI3" s="5">
        <f t="shared" si="4"/>
        <v>0.89598442532195044</v>
      </c>
      <c r="AJ3" s="5">
        <f t="shared" si="4"/>
        <v>0.91269008013486153</v>
      </c>
      <c r="AK3" s="5">
        <f t="shared" ref="AK3:AT12" si="5">IF(OR($B3="",AK$2=""),"",(1-EXP(-$B3/$BR$1))*EXP(-AK$2/$BR$1)/((1-EXP(-AK$2/$BR$1))*EXP(-$B3/$BR$1)+(1-EXP(-$B3/$BR$1))*EXP(-AK$2/$BR$1)))</f>
        <v>0.91788133601656163</v>
      </c>
      <c r="AL3" s="5">
        <f t="shared" si="5"/>
        <v>0.92307275982295256</v>
      </c>
      <c r="AM3" s="5">
        <f t="shared" si="5"/>
        <v>0.92714996185592735</v>
      </c>
      <c r="AN3" s="5">
        <f t="shared" si="5"/>
        <v>0.93402077595510435</v>
      </c>
      <c r="AO3" s="5">
        <f t="shared" si="5"/>
        <v>0.9391320663425019</v>
      </c>
      <c r="AP3" s="5">
        <f t="shared" si="5"/>
        <v>0.94040530608202899</v>
      </c>
      <c r="AQ3" s="5">
        <f t="shared" si="5"/>
        <v>0.94154696011395933</v>
      </c>
      <c r="AR3" s="5">
        <f t="shared" si="5"/>
        <v>0.94452252999168063</v>
      </c>
      <c r="AS3" s="5">
        <f t="shared" si="5"/>
        <v>0.95591698061733721</v>
      </c>
      <c r="AT3" s="5">
        <f t="shared" si="5"/>
        <v>0.9559510269061734</v>
      </c>
      <c r="AU3" s="5">
        <f t="shared" ref="AU3:BD12" si="6">IF(OR($B3="",AU$2=""),"",(1-EXP(-$B3/$BR$1))*EXP(-AU$2/$BR$1)/((1-EXP(-AU$2/$BR$1))*EXP(-$B3/$BR$1)+(1-EXP(-$B3/$BR$1))*EXP(-AU$2/$BR$1)))</f>
        <v>0.95662936960402234</v>
      </c>
      <c r="AV3" s="5">
        <f t="shared" si="6"/>
        <v>0.95676444912334069</v>
      </c>
      <c r="AW3" s="5">
        <f t="shared" si="6"/>
        <v>0.95820423262473975</v>
      </c>
      <c r="AX3" s="5">
        <f t="shared" si="6"/>
        <v>0.95962166394736115</v>
      </c>
      <c r="AY3" s="5">
        <f t="shared" si="6"/>
        <v>0.96092037958400012</v>
      </c>
      <c r="AZ3" s="5">
        <f t="shared" si="6"/>
        <v>0.96361773305902154</v>
      </c>
      <c r="BA3" s="5">
        <f t="shared" si="6"/>
        <v>0.96586783555522482</v>
      </c>
      <c r="BB3" s="5">
        <f t="shared" si="6"/>
        <v>0.97343117575833138</v>
      </c>
      <c r="BC3" s="5" t="str">
        <f t="shared" si="6"/>
        <v/>
      </c>
      <c r="BD3" s="5" t="str">
        <f t="shared" si="6"/>
        <v/>
      </c>
      <c r="BE3" s="5" t="str">
        <f t="shared" ref="BE3:BQ12" si="7">IF(OR($B3="",BE$2=""),"",(1-EXP(-$B3/$BR$1))*EXP(-BE$2/$BR$1)/((1-EXP(-BE$2/$BR$1))*EXP(-$B3/$BR$1)+(1-EXP(-$B3/$BR$1))*EXP(-BE$2/$BR$1)))</f>
        <v/>
      </c>
      <c r="BF3" s="5" t="str">
        <f t="shared" si="7"/>
        <v/>
      </c>
      <c r="BG3" s="5" t="str">
        <f t="shared" si="7"/>
        <v/>
      </c>
      <c r="BH3" s="5" t="str">
        <f t="shared" si="7"/>
        <v/>
      </c>
      <c r="BI3" s="5" t="str">
        <f t="shared" si="7"/>
        <v/>
      </c>
      <c r="BJ3" s="5" t="str">
        <f t="shared" si="7"/>
        <v/>
      </c>
      <c r="BK3" s="5" t="str">
        <f t="shared" si="7"/>
        <v/>
      </c>
      <c r="BL3" s="5" t="str">
        <f t="shared" si="7"/>
        <v/>
      </c>
      <c r="BM3" s="5" t="str">
        <f t="shared" si="7"/>
        <v/>
      </c>
      <c r="BN3" s="5" t="str">
        <f t="shared" si="7"/>
        <v/>
      </c>
      <c r="BO3" s="5" t="str">
        <f t="shared" si="7"/>
        <v/>
      </c>
      <c r="BP3" s="5" t="str">
        <f t="shared" si="7"/>
        <v/>
      </c>
      <c r="BQ3" s="5" t="str">
        <f t="shared" si="7"/>
        <v/>
      </c>
      <c r="BR3" s="9">
        <f t="shared" ref="BR3:BR45" si="8">IF(B3="","",EXP(-B3/BR$1))</f>
        <v>3.8373389147858948E-2</v>
      </c>
      <c r="BS3" s="5">
        <f t="shared" ref="BS3:BS45" si="9">IF(B3="","",SUM(AA3:BQ3)-0.5)</f>
        <v>24.491544276212746</v>
      </c>
      <c r="BT3" s="5">
        <f>IF(B3="","",IF(C3="y",0,(($BS$1-($BT$1/2))/2-A3)/100))</f>
        <v>0.13</v>
      </c>
      <c r="BU3" s="5">
        <f t="shared" ref="BU3:BU45" si="10">IF(B3="","",IF(C3="y","",($BS$1-A3-BS3-BT3)*200/($BS$1-$BT$1)))</f>
        <v>16.988969455623241</v>
      </c>
      <c r="BV3" s="5" t="str">
        <f t="shared" ref="BV3:BV45" si="11">IF(C3="y",BS3,"")</f>
        <v/>
      </c>
      <c r="BW3" s="5" t="str">
        <f t="shared" ref="BW3:BW45" si="12">IF(C3="y",-SUM(BU$3:BU$45)/BT$1*BV3/AVERAGE(BV$3:BV$45),"")</f>
        <v/>
      </c>
      <c r="BX3" s="1">
        <f t="shared" ref="BX3:BX45" si="13">IF(B3="","",IF(BU3="",BW3,BU3))</f>
        <v>16.988969455623241</v>
      </c>
    </row>
    <row r="4" spans="1:76">
      <c r="A4" s="1">
        <v>2</v>
      </c>
      <c r="B4" s="10">
        <v>5982</v>
      </c>
      <c r="C4" s="10"/>
      <c r="D4" s="4">
        <f t="shared" ref="D4:D45" si="14">IF($B4="","",IF(C4="y",0,IF($B5="",(D3/2),($BS$1/($BS$1+1)*1.06*B$1/16*($BS$1-$A4)/($BS$1-1)))))</f>
        <v>153.6202645872394</v>
      </c>
      <c r="E4" s="3">
        <f t="shared" ref="E4:E45" si="15">IF(B4="","",RANK(B4,B$3:B$45))</f>
        <v>2</v>
      </c>
      <c r="F4" s="4">
        <f t="shared" si="1"/>
        <v>5.6050805487242172</v>
      </c>
      <c r="G4" s="4">
        <f t="shared" si="2"/>
        <v>24.893432490887268</v>
      </c>
      <c r="H4" s="4">
        <f t="shared" si="3"/>
        <v>6006.8934324908869</v>
      </c>
      <c r="J4" s="3" t="s">
        <v>16</v>
      </c>
      <c r="AA4" s="5">
        <f t="shared" si="4"/>
        <v>0.33012509888431629</v>
      </c>
      <c r="AB4" s="5">
        <f t="shared" si="4"/>
        <v>0.5</v>
      </c>
      <c r="AC4" s="5">
        <f t="shared" si="4"/>
        <v>0.56106018738858943</v>
      </c>
      <c r="AD4" s="5">
        <f t="shared" si="4"/>
        <v>0.69641444877480152</v>
      </c>
      <c r="AE4" s="5">
        <f t="shared" si="4"/>
        <v>0.71169977229591319</v>
      </c>
      <c r="AF4" s="5">
        <f t="shared" si="4"/>
        <v>0.72155634020738213</v>
      </c>
      <c r="AG4" s="5">
        <f t="shared" si="4"/>
        <v>0.73748949051668899</v>
      </c>
      <c r="AH4" s="5">
        <f t="shared" si="4"/>
        <v>0.76557469081314922</v>
      </c>
      <c r="AI4" s="5">
        <f t="shared" si="4"/>
        <v>0.8093455106495272</v>
      </c>
      <c r="AJ4" s="5">
        <f t="shared" si="4"/>
        <v>0.83744143209467659</v>
      </c>
      <c r="AK4" s="5">
        <f t="shared" si="5"/>
        <v>0.84635361364404615</v>
      </c>
      <c r="AL4" s="5">
        <f t="shared" si="5"/>
        <v>0.85535433015000717</v>
      </c>
      <c r="AM4" s="5">
        <f t="shared" si="5"/>
        <v>0.86248597278794414</v>
      </c>
      <c r="AN4" s="5">
        <f t="shared" si="5"/>
        <v>0.87463086538151358</v>
      </c>
      <c r="AO4" s="5">
        <f t="shared" si="5"/>
        <v>0.88377045697791701</v>
      </c>
      <c r="AP4" s="5">
        <f t="shared" si="5"/>
        <v>0.88606125517402157</v>
      </c>
      <c r="AQ4" s="5">
        <f t="shared" si="5"/>
        <v>0.88812012114696104</v>
      </c>
      <c r="AR4" s="5">
        <f t="shared" si="5"/>
        <v>0.89350779207484132</v>
      </c>
      <c r="AS4" s="5">
        <f t="shared" si="5"/>
        <v>0.91443085545357383</v>
      </c>
      <c r="AT4" s="5">
        <f t="shared" si="5"/>
        <v>0.91449407638487201</v>
      </c>
      <c r="AU4" s="5">
        <f t="shared" si="6"/>
        <v>0.91575458250629549</v>
      </c>
      <c r="AV4" s="5">
        <f t="shared" si="6"/>
        <v>0.9160057903802592</v>
      </c>
      <c r="AW4" s="5">
        <f t="shared" si="6"/>
        <v>0.91868752177467283</v>
      </c>
      <c r="AX4" s="5">
        <f t="shared" si="6"/>
        <v>0.92133507366289946</v>
      </c>
      <c r="AY4" s="5">
        <f t="shared" si="6"/>
        <v>0.92376740099359855</v>
      </c>
      <c r="AZ4" s="5">
        <f t="shared" si="6"/>
        <v>0.92883922313280642</v>
      </c>
      <c r="BA4" s="5">
        <f t="shared" si="6"/>
        <v>0.93309089238875687</v>
      </c>
      <c r="BB4" s="5">
        <f t="shared" si="6"/>
        <v>0.94752265563574711</v>
      </c>
      <c r="BC4" s="5" t="str">
        <f t="shared" si="6"/>
        <v/>
      </c>
      <c r="BD4" s="5" t="str">
        <f t="shared" si="6"/>
        <v/>
      </c>
      <c r="BE4" s="5" t="str">
        <f t="shared" si="7"/>
        <v/>
      </c>
      <c r="BF4" s="5" t="str">
        <f t="shared" si="7"/>
        <v/>
      </c>
      <c r="BG4" s="5" t="str">
        <f t="shared" si="7"/>
        <v/>
      </c>
      <c r="BH4" s="5" t="str">
        <f t="shared" si="7"/>
        <v/>
      </c>
      <c r="BI4" s="5" t="str">
        <f t="shared" si="7"/>
        <v/>
      </c>
      <c r="BJ4" s="5" t="str">
        <f t="shared" si="7"/>
        <v/>
      </c>
      <c r="BK4" s="5" t="str">
        <f t="shared" si="7"/>
        <v/>
      </c>
      <c r="BL4" s="5" t="str">
        <f t="shared" si="7"/>
        <v/>
      </c>
      <c r="BM4" s="5" t="str">
        <f t="shared" si="7"/>
        <v/>
      </c>
      <c r="BN4" s="5" t="str">
        <f t="shared" si="7"/>
        <v/>
      </c>
      <c r="BO4" s="5" t="str">
        <f t="shared" si="7"/>
        <v/>
      </c>
      <c r="BP4" s="5" t="str">
        <f t="shared" si="7"/>
        <v/>
      </c>
      <c r="BQ4" s="5" t="str">
        <f t="shared" si="7"/>
        <v/>
      </c>
      <c r="BR4" s="9">
        <f t="shared" si="8"/>
        <v>7.490729315387204E-2</v>
      </c>
      <c r="BS4" s="5">
        <f t="shared" si="9"/>
        <v>22.394919451275783</v>
      </c>
      <c r="BT4" s="5">
        <f t="shared" ref="BT4:BT45" si="16">IF(B4="","",IF(C4="y",0,(($BS$1-($BT$1/2))/2-A4)/100))</f>
        <v>0.12</v>
      </c>
      <c r="BU4" s="5">
        <f t="shared" si="10"/>
        <v>24.893432490887268</v>
      </c>
      <c r="BV4" s="5" t="str">
        <f t="shared" si="11"/>
        <v/>
      </c>
      <c r="BW4" s="5" t="str">
        <f t="shared" si="12"/>
        <v/>
      </c>
      <c r="BX4" s="1">
        <f t="shared" si="13"/>
        <v>24.893432490887268</v>
      </c>
    </row>
    <row r="5" spans="1:76">
      <c r="A5" s="1">
        <v>3</v>
      </c>
      <c r="B5" s="10">
        <v>5463</v>
      </c>
      <c r="C5" s="10"/>
      <c r="D5" s="4">
        <f t="shared" si="14"/>
        <v>147.71179287234557</v>
      </c>
      <c r="E5" s="3">
        <f t="shared" si="15"/>
        <v>3</v>
      </c>
      <c r="F5" s="4">
        <f t="shared" si="1"/>
        <v>6.5409384302776559</v>
      </c>
      <c r="G5" s="4">
        <f t="shared" si="2"/>
        <v>24.506703073411831</v>
      </c>
      <c r="H5" s="4">
        <f t="shared" si="3"/>
        <v>5487.5067030734117</v>
      </c>
      <c r="AA5" s="5">
        <f t="shared" si="4"/>
        <v>0.27826478818101386</v>
      </c>
      <c r="AB5" s="5">
        <f t="shared" si="4"/>
        <v>0.43893981261141052</v>
      </c>
      <c r="AC5" s="5">
        <f t="shared" si="4"/>
        <v>0.5</v>
      </c>
      <c r="AD5" s="5">
        <f t="shared" si="4"/>
        <v>0.64217472594241531</v>
      </c>
      <c r="AE5" s="5">
        <f t="shared" si="4"/>
        <v>0.65885320270848391</v>
      </c>
      <c r="AF5" s="5">
        <f t="shared" si="4"/>
        <v>0.66967795044549094</v>
      </c>
      <c r="AG5" s="5">
        <f t="shared" si="4"/>
        <v>0.68729317066847195</v>
      </c>
      <c r="AH5" s="5">
        <f t="shared" si="4"/>
        <v>0.71870031605553786</v>
      </c>
      <c r="AI5" s="5">
        <f t="shared" si="4"/>
        <v>0.76857764822206287</v>
      </c>
      <c r="AJ5" s="5">
        <f t="shared" si="4"/>
        <v>0.80120569925054097</v>
      </c>
      <c r="AK5" s="5">
        <f t="shared" si="5"/>
        <v>0.81165769311801361</v>
      </c>
      <c r="AL5" s="5">
        <f t="shared" si="5"/>
        <v>0.82226409024500047</v>
      </c>
      <c r="AM5" s="5">
        <f t="shared" si="5"/>
        <v>0.83070430972804021</v>
      </c>
      <c r="AN5" s="5">
        <f t="shared" si="5"/>
        <v>0.84515214152262075</v>
      </c>
      <c r="AO5" s="5">
        <f t="shared" si="5"/>
        <v>0.85608716886330294</v>
      </c>
      <c r="AP5" s="5">
        <f t="shared" si="5"/>
        <v>0.85883643341404436</v>
      </c>
      <c r="AQ5" s="5">
        <f t="shared" si="5"/>
        <v>0.8613102481538244</v>
      </c>
      <c r="AR5" s="5">
        <f t="shared" si="5"/>
        <v>0.86779678874020238</v>
      </c>
      <c r="AS5" s="5">
        <f t="shared" si="5"/>
        <v>0.89316743030161883</v>
      </c>
      <c r="AT5" s="5">
        <f t="shared" si="5"/>
        <v>0.89324452718833247</v>
      </c>
      <c r="AU5" s="5">
        <f t="shared" si="6"/>
        <v>0.89478224683487984</v>
      </c>
      <c r="AV5" s="5">
        <f t="shared" si="6"/>
        <v>0.89508882689264202</v>
      </c>
      <c r="AW5" s="5">
        <f t="shared" si="6"/>
        <v>0.89836428714168759</v>
      </c>
      <c r="AX5" s="5">
        <f t="shared" si="6"/>
        <v>0.90160269254976655</v>
      </c>
      <c r="AY5" s="5">
        <f t="shared" si="6"/>
        <v>0.9045819592587907</v>
      </c>
      <c r="AZ5" s="5">
        <f t="shared" si="6"/>
        <v>0.91080696245382919</v>
      </c>
      <c r="BA5" s="5">
        <f t="shared" si="6"/>
        <v>0.91603862329166208</v>
      </c>
      <c r="BB5" s="5">
        <f t="shared" si="6"/>
        <v>0.93388782593865594</v>
      </c>
      <c r="BC5" s="5" t="str">
        <f t="shared" si="6"/>
        <v/>
      </c>
      <c r="BD5" s="5" t="str">
        <f t="shared" si="6"/>
        <v/>
      </c>
      <c r="BE5" s="5" t="str">
        <f t="shared" si="7"/>
        <v/>
      </c>
      <c r="BF5" s="5" t="str">
        <f t="shared" si="7"/>
        <v/>
      </c>
      <c r="BG5" s="5" t="str">
        <f t="shared" si="7"/>
        <v/>
      </c>
      <c r="BH5" s="5" t="str">
        <f t="shared" si="7"/>
        <v/>
      </c>
      <c r="BI5" s="5" t="str">
        <f t="shared" si="7"/>
        <v/>
      </c>
      <c r="BJ5" s="5" t="str">
        <f t="shared" si="7"/>
        <v/>
      </c>
      <c r="BK5" s="5" t="str">
        <f t="shared" si="7"/>
        <v/>
      </c>
      <c r="BL5" s="5" t="str">
        <f t="shared" si="7"/>
        <v/>
      </c>
      <c r="BM5" s="5" t="str">
        <f t="shared" si="7"/>
        <v/>
      </c>
      <c r="BN5" s="5" t="str">
        <f t="shared" si="7"/>
        <v/>
      </c>
      <c r="BO5" s="5" t="str">
        <f t="shared" si="7"/>
        <v/>
      </c>
      <c r="BP5" s="5" t="str">
        <f t="shared" si="7"/>
        <v/>
      </c>
      <c r="BQ5" s="5" t="str">
        <f t="shared" si="7"/>
        <v/>
      </c>
      <c r="BR5" s="9">
        <f t="shared" si="8"/>
        <v>9.3793060777507556E-2</v>
      </c>
      <c r="BS5" s="5">
        <f t="shared" si="9"/>
        <v>21.459061569722344</v>
      </c>
      <c r="BT5" s="5">
        <f t="shared" si="16"/>
        <v>0.11</v>
      </c>
      <c r="BU5" s="5">
        <f t="shared" si="10"/>
        <v>24.506703073411831</v>
      </c>
      <c r="BV5" s="5" t="str">
        <f t="shared" si="11"/>
        <v/>
      </c>
      <c r="BW5" s="5" t="str">
        <f t="shared" si="12"/>
        <v/>
      </c>
      <c r="BX5" s="1">
        <f t="shared" si="13"/>
        <v>24.506703073411831</v>
      </c>
    </row>
    <row r="6" spans="1:76">
      <c r="A6" s="1">
        <v>4</v>
      </c>
      <c r="B6" s="10">
        <v>4279</v>
      </c>
      <c r="C6" s="10"/>
      <c r="D6" s="4">
        <f t="shared" si="14"/>
        <v>141.80332115745173</v>
      </c>
      <c r="E6" s="3">
        <f t="shared" si="15"/>
        <v>4</v>
      </c>
      <c r="F6" s="4">
        <f t="shared" si="1"/>
        <v>9.2177686047787368</v>
      </c>
      <c r="G6" s="4">
        <f t="shared" si="2"/>
        <v>36.555490034133832</v>
      </c>
      <c r="H6" s="4">
        <f t="shared" si="3"/>
        <v>4315.555490034134</v>
      </c>
      <c r="J6" s="3" t="s">
        <v>10</v>
      </c>
      <c r="AA6" s="5">
        <f t="shared" si="4"/>
        <v>0.1768406420830729</v>
      </c>
      <c r="AB6" s="5">
        <f t="shared" si="4"/>
        <v>0.30358555122519842</v>
      </c>
      <c r="AC6" s="5">
        <f t="shared" si="4"/>
        <v>0.35782527405758469</v>
      </c>
      <c r="AD6" s="5">
        <f t="shared" si="4"/>
        <v>0.5</v>
      </c>
      <c r="AE6" s="5">
        <f t="shared" si="4"/>
        <v>0.51833483961766769</v>
      </c>
      <c r="AF6" s="5">
        <f t="shared" si="4"/>
        <v>0.53044061153860822</v>
      </c>
      <c r="AG6" s="5">
        <f t="shared" si="4"/>
        <v>0.55049705924918391</v>
      </c>
      <c r="AH6" s="5">
        <f t="shared" si="4"/>
        <v>0.58739535506226082</v>
      </c>
      <c r="AI6" s="5">
        <f t="shared" si="4"/>
        <v>0.64919020672321281</v>
      </c>
      <c r="AJ6" s="5">
        <f t="shared" si="4"/>
        <v>0.69190307849103894</v>
      </c>
      <c r="AK6" s="5">
        <f t="shared" si="5"/>
        <v>0.70599304924392747</v>
      </c>
      <c r="AL6" s="5">
        <f t="shared" si="5"/>
        <v>0.72050082228801293</v>
      </c>
      <c r="AM6" s="5">
        <f t="shared" si="5"/>
        <v>0.73219964456664033</v>
      </c>
      <c r="AN6" s="5">
        <f t="shared" si="5"/>
        <v>0.75254982606108112</v>
      </c>
      <c r="AO6" s="5">
        <f t="shared" si="5"/>
        <v>0.76823091526758025</v>
      </c>
      <c r="AP6" s="5">
        <f t="shared" si="5"/>
        <v>0.77221197407468034</v>
      </c>
      <c r="AQ6" s="5">
        <f t="shared" si="5"/>
        <v>0.77580756134900675</v>
      </c>
      <c r="AR6" s="5">
        <f t="shared" si="5"/>
        <v>0.7852962282853525</v>
      </c>
      <c r="AS6" s="5">
        <f t="shared" si="5"/>
        <v>0.8232750232522662</v>
      </c>
      <c r="AT6" s="5">
        <f t="shared" si="5"/>
        <v>0.82339258544754856</v>
      </c>
      <c r="AU6" s="5">
        <f t="shared" si="6"/>
        <v>0.82574017410885903</v>
      </c>
      <c r="AV6" s="5">
        <f t="shared" si="6"/>
        <v>0.8262088535057589</v>
      </c>
      <c r="AW6" s="5">
        <f t="shared" si="6"/>
        <v>0.83122934953943739</v>
      </c>
      <c r="AX6" s="5">
        <f t="shared" si="6"/>
        <v>0.83621687967232194</v>
      </c>
      <c r="AY6" s="5">
        <f t="shared" si="6"/>
        <v>0.84082637857602116</v>
      </c>
      <c r="AZ6" s="5">
        <f t="shared" si="6"/>
        <v>0.85052343954326426</v>
      </c>
      <c r="BA6" s="5">
        <f t="shared" si="6"/>
        <v>0.85874266661626719</v>
      </c>
      <c r="BB6" s="5">
        <f t="shared" si="6"/>
        <v>0.88727340577541136</v>
      </c>
      <c r="BC6" s="5" t="str">
        <f t="shared" si="6"/>
        <v/>
      </c>
      <c r="BD6" s="5" t="str">
        <f t="shared" si="6"/>
        <v/>
      </c>
      <c r="BE6" s="5" t="str">
        <f t="shared" si="7"/>
        <v/>
      </c>
      <c r="BF6" s="5" t="str">
        <f t="shared" si="7"/>
        <v/>
      </c>
      <c r="BG6" s="5" t="str">
        <f t="shared" si="7"/>
        <v/>
      </c>
      <c r="BH6" s="5" t="str">
        <f t="shared" si="7"/>
        <v/>
      </c>
      <c r="BI6" s="5" t="str">
        <f t="shared" si="7"/>
        <v/>
      </c>
      <c r="BJ6" s="5" t="str">
        <f t="shared" si="7"/>
        <v/>
      </c>
      <c r="BK6" s="5" t="str">
        <f t="shared" si="7"/>
        <v/>
      </c>
      <c r="BL6" s="5" t="str">
        <f t="shared" si="7"/>
        <v/>
      </c>
      <c r="BM6" s="5" t="str">
        <f t="shared" si="7"/>
        <v/>
      </c>
      <c r="BN6" s="5" t="str">
        <f t="shared" si="7"/>
        <v/>
      </c>
      <c r="BO6" s="5" t="str">
        <f t="shared" si="7"/>
        <v/>
      </c>
      <c r="BP6" s="5" t="str">
        <f t="shared" si="7"/>
        <v/>
      </c>
      <c r="BQ6" s="5" t="str">
        <f t="shared" si="7"/>
        <v/>
      </c>
      <c r="BR6" s="9">
        <f t="shared" si="8"/>
        <v>0.15665090396301476</v>
      </c>
      <c r="BS6" s="5">
        <f t="shared" si="9"/>
        <v>18.782231395221263</v>
      </c>
      <c r="BT6" s="5">
        <f t="shared" si="16"/>
        <v>0.1</v>
      </c>
      <c r="BU6" s="5">
        <f t="shared" si="10"/>
        <v>36.555490034133832</v>
      </c>
      <c r="BV6" s="5" t="str">
        <f t="shared" si="11"/>
        <v/>
      </c>
      <c r="BW6" s="5" t="str">
        <f t="shared" si="12"/>
        <v/>
      </c>
      <c r="BX6" s="1">
        <f t="shared" si="13"/>
        <v>36.555490034133832</v>
      </c>
    </row>
    <row r="7" spans="1:76">
      <c r="A7" s="1">
        <v>5</v>
      </c>
      <c r="B7" s="10">
        <v>4137</v>
      </c>
      <c r="C7" s="10"/>
      <c r="D7" s="4">
        <f t="shared" si="14"/>
        <v>135.8948494425579</v>
      </c>
      <c r="E7" s="3">
        <f t="shared" si="15"/>
        <v>5</v>
      </c>
      <c r="F7" s="4">
        <f t="shared" si="1"/>
        <v>9.5957529633692644</v>
      </c>
      <c r="G7" s="4">
        <f t="shared" si="2"/>
        <v>32.183949738351892</v>
      </c>
      <c r="H7" s="4">
        <f t="shared" si="3"/>
        <v>4169.1839497383517</v>
      </c>
      <c r="J7" s="3" t="s">
        <v>17</v>
      </c>
      <c r="AA7" s="5">
        <f t="shared" si="4"/>
        <v>0.16641193957177769</v>
      </c>
      <c r="AB7" s="5">
        <f t="shared" si="4"/>
        <v>0.28830022770408675</v>
      </c>
      <c r="AC7" s="5">
        <f t="shared" si="4"/>
        <v>0.34114679729151615</v>
      </c>
      <c r="AD7" s="5">
        <f t="shared" si="4"/>
        <v>0.48166516038233237</v>
      </c>
      <c r="AE7" s="5">
        <f t="shared" si="4"/>
        <v>0.5</v>
      </c>
      <c r="AF7" s="5">
        <f t="shared" si="4"/>
        <v>0.51213285846585133</v>
      </c>
      <c r="AG7" s="5">
        <f t="shared" si="4"/>
        <v>0.53228177265631049</v>
      </c>
      <c r="AH7" s="5">
        <f t="shared" si="4"/>
        <v>0.56950601559115466</v>
      </c>
      <c r="AI7" s="5">
        <f t="shared" si="4"/>
        <v>0.63230296182132684</v>
      </c>
      <c r="AJ7" s="5">
        <f t="shared" si="4"/>
        <v>0.67604591768617517</v>
      </c>
      <c r="AK7" s="5">
        <f t="shared" si="5"/>
        <v>0.69053672376116293</v>
      </c>
      <c r="AL7" s="5">
        <f t="shared" si="5"/>
        <v>0.70548902560761906</v>
      </c>
      <c r="AM7" s="5">
        <f t="shared" si="5"/>
        <v>0.71756988364451535</v>
      </c>
      <c r="AN7" s="5">
        <f t="shared" si="5"/>
        <v>0.73863494524872941</v>
      </c>
      <c r="AO7" s="5">
        <f t="shared" si="5"/>
        <v>0.75491064815910025</v>
      </c>
      <c r="AP7" s="5">
        <f t="shared" si="5"/>
        <v>0.75904874514850917</v>
      </c>
      <c r="AQ7" s="5">
        <f t="shared" si="5"/>
        <v>0.76278828479922511</v>
      </c>
      <c r="AR7" s="5">
        <f t="shared" si="5"/>
        <v>0.77266651068659742</v>
      </c>
      <c r="AS7" s="5">
        <f t="shared" si="5"/>
        <v>0.81234551562783053</v>
      </c>
      <c r="AT7" s="5">
        <f t="shared" si="5"/>
        <v>0.81246869227658747</v>
      </c>
      <c r="AU7" s="5">
        <f t="shared" si="6"/>
        <v>0.81492885102246759</v>
      </c>
      <c r="AV7" s="5">
        <f t="shared" si="6"/>
        <v>0.8154201081677932</v>
      </c>
      <c r="AW7" s="5">
        <f t="shared" si="6"/>
        <v>0.82068462837621259</v>
      </c>
      <c r="AX7" s="5">
        <f t="shared" si="6"/>
        <v>0.82591851609569467</v>
      </c>
      <c r="AY7" s="5">
        <f t="shared" si="6"/>
        <v>0.83075919173074408</v>
      </c>
      <c r="AZ7" s="5">
        <f t="shared" si="6"/>
        <v>0.84095354878364859</v>
      </c>
      <c r="BA7" s="5">
        <f t="shared" si="6"/>
        <v>0.84960594437092596</v>
      </c>
      <c r="BB7" s="5">
        <f t="shared" si="6"/>
        <v>0.87972362195284071</v>
      </c>
      <c r="BC7" s="5" t="str">
        <f t="shared" si="6"/>
        <v/>
      </c>
      <c r="BD7" s="5" t="str">
        <f t="shared" si="6"/>
        <v/>
      </c>
      <c r="BE7" s="5" t="str">
        <f t="shared" si="7"/>
        <v/>
      </c>
      <c r="BF7" s="5" t="str">
        <f t="shared" si="7"/>
        <v/>
      </c>
      <c r="BG7" s="5" t="str">
        <f t="shared" si="7"/>
        <v/>
      </c>
      <c r="BH7" s="5" t="str">
        <f t="shared" si="7"/>
        <v/>
      </c>
      <c r="BI7" s="5" t="str">
        <f t="shared" si="7"/>
        <v/>
      </c>
      <c r="BJ7" s="5" t="str">
        <f t="shared" si="7"/>
        <v/>
      </c>
      <c r="BK7" s="5" t="str">
        <f t="shared" si="7"/>
        <v/>
      </c>
      <c r="BL7" s="5" t="str">
        <f t="shared" si="7"/>
        <v/>
      </c>
      <c r="BM7" s="5" t="str">
        <f t="shared" si="7"/>
        <v/>
      </c>
      <c r="BN7" s="5" t="str">
        <f t="shared" si="7"/>
        <v/>
      </c>
      <c r="BO7" s="5" t="str">
        <f t="shared" si="7"/>
        <v/>
      </c>
      <c r="BP7" s="5" t="str">
        <f t="shared" si="7"/>
        <v/>
      </c>
      <c r="BQ7" s="5" t="str">
        <f t="shared" si="7"/>
        <v/>
      </c>
      <c r="BR7" s="9">
        <f t="shared" si="8"/>
        <v>0.1665901493188825</v>
      </c>
      <c r="BS7" s="5">
        <f t="shared" si="9"/>
        <v>18.404247036630736</v>
      </c>
      <c r="BT7" s="5">
        <f t="shared" si="16"/>
        <v>0.09</v>
      </c>
      <c r="BU7" s="5">
        <f t="shared" si="10"/>
        <v>32.183949738351892</v>
      </c>
      <c r="BV7" s="5" t="str">
        <f t="shared" si="11"/>
        <v/>
      </c>
      <c r="BW7" s="5" t="str">
        <f t="shared" si="12"/>
        <v/>
      </c>
      <c r="BX7" s="1">
        <f t="shared" si="13"/>
        <v>32.183949738351892</v>
      </c>
    </row>
    <row r="8" spans="1:76">
      <c r="A8" s="1">
        <v>6</v>
      </c>
      <c r="B8" s="10">
        <v>4044</v>
      </c>
      <c r="C8" s="10"/>
      <c r="D8" s="4">
        <f t="shared" si="14"/>
        <v>129.98637772766409</v>
      </c>
      <c r="E8" s="3">
        <f t="shared" si="15"/>
        <v>6</v>
      </c>
      <c r="F8" s="4">
        <f t="shared" si="1"/>
        <v>9.8505252889614283</v>
      </c>
      <c r="G8" s="4">
        <f t="shared" si="2"/>
        <v>26.932323492581627</v>
      </c>
      <c r="H8" s="4">
        <f t="shared" si="3"/>
        <v>4070.9323234925814</v>
      </c>
      <c r="J8" s="3" t="s">
        <v>21</v>
      </c>
      <c r="AA8" s="5">
        <f t="shared" si="4"/>
        <v>0.15978696242263341</v>
      </c>
      <c r="AB8" s="5">
        <f t="shared" si="4"/>
        <v>0.27844365979261787</v>
      </c>
      <c r="AC8" s="5">
        <f t="shared" si="4"/>
        <v>0.33032204955450906</v>
      </c>
      <c r="AD8" s="5">
        <f t="shared" si="4"/>
        <v>0.46955938846139167</v>
      </c>
      <c r="AE8" s="5">
        <f t="shared" si="4"/>
        <v>0.48786714153414873</v>
      </c>
      <c r="AF8" s="5">
        <f t="shared" si="4"/>
        <v>0.5</v>
      </c>
      <c r="AG8" s="5">
        <f t="shared" si="4"/>
        <v>0.52018053063862257</v>
      </c>
      <c r="AH8" s="5">
        <f t="shared" si="4"/>
        <v>0.55756734482408465</v>
      </c>
      <c r="AI8" s="5">
        <f t="shared" si="4"/>
        <v>0.62094668416781351</v>
      </c>
      <c r="AJ8" s="5">
        <f t="shared" si="4"/>
        <v>0.66532556127179243</v>
      </c>
      <c r="AK8" s="5">
        <f t="shared" si="5"/>
        <v>0.6800689667052402</v>
      </c>
      <c r="AL8" s="5">
        <f t="shared" si="5"/>
        <v>0.69530386956067014</v>
      </c>
      <c r="AM8" s="5">
        <f t="shared" si="5"/>
        <v>0.70762937931394099</v>
      </c>
      <c r="AN8" s="5">
        <f t="shared" si="5"/>
        <v>0.72915601038371025</v>
      </c>
      <c r="AO8" s="5">
        <f t="shared" si="5"/>
        <v>0.74581885886226618</v>
      </c>
      <c r="AP8" s="5">
        <f t="shared" si="5"/>
        <v>0.7500596382153647</v>
      </c>
      <c r="AQ8" s="5">
        <f t="shared" si="5"/>
        <v>0.75389345454170364</v>
      </c>
      <c r="AR8" s="5">
        <f t="shared" si="5"/>
        <v>0.76402750087372828</v>
      </c>
      <c r="AS8" s="5">
        <f t="shared" si="5"/>
        <v>0.80483349884048094</v>
      </c>
      <c r="AT8" s="5">
        <f t="shared" si="5"/>
        <v>0.80496042250615629</v>
      </c>
      <c r="AU8" s="5">
        <f t="shared" si="6"/>
        <v>0.80749574169978477</v>
      </c>
      <c r="AV8" s="5">
        <f t="shared" si="6"/>
        <v>0.80800208091268655</v>
      </c>
      <c r="AW8" s="5">
        <f t="shared" si="6"/>
        <v>0.81342976664379529</v>
      </c>
      <c r="AX8" s="5">
        <f t="shared" si="6"/>
        <v>0.81882866399597543</v>
      </c>
      <c r="AY8" s="5">
        <f t="shared" si="6"/>
        <v>0.82382443361460411</v>
      </c>
      <c r="AZ8" s="5">
        <f t="shared" si="6"/>
        <v>0.83435322123456057</v>
      </c>
      <c r="BA8" s="5">
        <f t="shared" si="6"/>
        <v>0.84329777733089928</v>
      </c>
      <c r="BB8" s="5">
        <f t="shared" si="6"/>
        <v>0.87449210313538728</v>
      </c>
      <c r="BC8" s="5" t="str">
        <f t="shared" si="6"/>
        <v/>
      </c>
      <c r="BD8" s="5" t="str">
        <f t="shared" si="6"/>
        <v/>
      </c>
      <c r="BE8" s="5" t="str">
        <f t="shared" si="7"/>
        <v/>
      </c>
      <c r="BF8" s="5" t="str">
        <f t="shared" si="7"/>
        <v/>
      </c>
      <c r="BG8" s="5" t="str">
        <f t="shared" si="7"/>
        <v/>
      </c>
      <c r="BH8" s="5" t="str">
        <f t="shared" si="7"/>
        <v/>
      </c>
      <c r="BI8" s="5" t="str">
        <f t="shared" si="7"/>
        <v/>
      </c>
      <c r="BJ8" s="5" t="str">
        <f t="shared" si="7"/>
        <v/>
      </c>
      <c r="BK8" s="5" t="str">
        <f t="shared" si="7"/>
        <v/>
      </c>
      <c r="BL8" s="5" t="str">
        <f t="shared" si="7"/>
        <v/>
      </c>
      <c r="BM8" s="5" t="str">
        <f t="shared" si="7"/>
        <v/>
      </c>
      <c r="BN8" s="5" t="str">
        <f t="shared" si="7"/>
        <v/>
      </c>
      <c r="BO8" s="5" t="str">
        <f t="shared" si="7"/>
        <v/>
      </c>
      <c r="BP8" s="5" t="str">
        <f t="shared" si="7"/>
        <v/>
      </c>
      <c r="BQ8" s="5" t="str">
        <f t="shared" si="7"/>
        <v/>
      </c>
      <c r="BR8" s="9">
        <f t="shared" si="8"/>
        <v>0.1734389700930265</v>
      </c>
      <c r="BS8" s="5">
        <f t="shared" si="9"/>
        <v>18.149474711038572</v>
      </c>
      <c r="BT8" s="5">
        <f t="shared" si="16"/>
        <v>0.08</v>
      </c>
      <c r="BU8" s="5">
        <f t="shared" si="10"/>
        <v>26.932323492581627</v>
      </c>
      <c r="BV8" s="5" t="str">
        <f t="shared" si="11"/>
        <v/>
      </c>
      <c r="BW8" s="5" t="str">
        <f t="shared" si="12"/>
        <v/>
      </c>
      <c r="BX8" s="1">
        <f t="shared" si="13"/>
        <v>26.932323492581627</v>
      </c>
    </row>
    <row r="9" spans="1:76">
      <c r="A9" s="1">
        <v>7</v>
      </c>
      <c r="B9" s="10">
        <v>3891</v>
      </c>
      <c r="C9" s="10"/>
      <c r="D9" s="4">
        <f t="shared" si="14"/>
        <v>124.07790601277028</v>
      </c>
      <c r="E9" s="3">
        <f t="shared" si="15"/>
        <v>7</v>
      </c>
      <c r="F9" s="4">
        <f t="shared" si="1"/>
        <v>10.282406171462814</v>
      </c>
      <c r="G9" s="4">
        <f t="shared" si="2"/>
        <v>22.94575836759153</v>
      </c>
      <c r="H9" s="4">
        <f t="shared" si="3"/>
        <v>3913.9457583675917</v>
      </c>
      <c r="J9" s="3" t="s">
        <v>23</v>
      </c>
      <c r="AA9" s="5">
        <f t="shared" si="4"/>
        <v>0.14923927484470179</v>
      </c>
      <c r="AB9" s="5">
        <f t="shared" si="4"/>
        <v>0.26251050948331101</v>
      </c>
      <c r="AC9" s="5">
        <f t="shared" si="4"/>
        <v>0.31270682933152805</v>
      </c>
      <c r="AD9" s="5">
        <f t="shared" si="4"/>
        <v>0.44950294075081615</v>
      </c>
      <c r="AE9" s="5">
        <f t="shared" si="4"/>
        <v>0.4677182273436894</v>
      </c>
      <c r="AF9" s="5">
        <f t="shared" si="4"/>
        <v>0.47981946936137754</v>
      </c>
      <c r="AG9" s="5">
        <f t="shared" si="4"/>
        <v>0.5</v>
      </c>
      <c r="AH9" s="5">
        <f t="shared" si="4"/>
        <v>0.53756136025892542</v>
      </c>
      <c r="AI9" s="5">
        <f t="shared" si="4"/>
        <v>0.6017596403325155</v>
      </c>
      <c r="AJ9" s="5">
        <f t="shared" si="4"/>
        <v>0.64710825356567725</v>
      </c>
      <c r="AK9" s="5">
        <f t="shared" si="5"/>
        <v>0.66224678215089305</v>
      </c>
      <c r="AL9" s="5">
        <f t="shared" si="5"/>
        <v>0.67792844181790968</v>
      </c>
      <c r="AM9" s="5">
        <f t="shared" si="5"/>
        <v>0.69064409793836967</v>
      </c>
      <c r="AN9" s="5">
        <f t="shared" si="5"/>
        <v>0.71291395344444752</v>
      </c>
      <c r="AO9" s="5">
        <f t="shared" si="5"/>
        <v>0.73020631678351144</v>
      </c>
      <c r="AP9" s="5">
        <f t="shared" si="5"/>
        <v>0.73461489001804392</v>
      </c>
      <c r="AQ9" s="5">
        <f t="shared" si="5"/>
        <v>0.73860305012158678</v>
      </c>
      <c r="AR9" s="5">
        <f t="shared" si="5"/>
        <v>0.74915722332438983</v>
      </c>
      <c r="AS9" s="5">
        <f t="shared" si="5"/>
        <v>0.79183407292557095</v>
      </c>
      <c r="AT9" s="5">
        <f t="shared" si="5"/>
        <v>0.79196726539724072</v>
      </c>
      <c r="AU9" s="5">
        <f t="shared" si="6"/>
        <v>0.79462839123578488</v>
      </c>
      <c r="AV9" s="5">
        <f t="shared" si="6"/>
        <v>0.79515998963763368</v>
      </c>
      <c r="AW9" s="5">
        <f t="shared" si="6"/>
        <v>0.80086124082530552</v>
      </c>
      <c r="AX9" s="5">
        <f t="shared" si="6"/>
        <v>0.80653733972093855</v>
      </c>
      <c r="AY9" s="5">
        <f t="shared" si="6"/>
        <v>0.81179413801816058</v>
      </c>
      <c r="AZ9" s="5">
        <f t="shared" si="6"/>
        <v>0.82288732313025303</v>
      </c>
      <c r="BA9" s="5">
        <f t="shared" si="6"/>
        <v>0.83232658984478347</v>
      </c>
      <c r="BB9" s="5">
        <f t="shared" si="6"/>
        <v>0.86535621692981857</v>
      </c>
      <c r="BC9" s="5" t="str">
        <f t="shared" si="6"/>
        <v/>
      </c>
      <c r="BD9" s="5" t="str">
        <f t="shared" si="6"/>
        <v/>
      </c>
      <c r="BE9" s="5" t="str">
        <f t="shared" si="7"/>
        <v/>
      </c>
      <c r="BF9" s="5" t="str">
        <f t="shared" si="7"/>
        <v/>
      </c>
      <c r="BG9" s="5" t="str">
        <f t="shared" si="7"/>
        <v/>
      </c>
      <c r="BH9" s="5" t="str">
        <f t="shared" si="7"/>
        <v/>
      </c>
      <c r="BI9" s="5" t="str">
        <f t="shared" si="7"/>
        <v/>
      </c>
      <c r="BJ9" s="5" t="str">
        <f t="shared" si="7"/>
        <v/>
      </c>
      <c r="BK9" s="5" t="str">
        <f t="shared" si="7"/>
        <v/>
      </c>
      <c r="BL9" s="5" t="str">
        <f t="shared" si="7"/>
        <v/>
      </c>
      <c r="BM9" s="5" t="str">
        <f t="shared" si="7"/>
        <v/>
      </c>
      <c r="BN9" s="5" t="str">
        <f t="shared" si="7"/>
        <v/>
      </c>
      <c r="BO9" s="5" t="str">
        <f t="shared" si="7"/>
        <v/>
      </c>
      <c r="BP9" s="5" t="str">
        <f t="shared" si="7"/>
        <v/>
      </c>
      <c r="BQ9" s="5" t="str">
        <f t="shared" si="7"/>
        <v/>
      </c>
      <c r="BR9" s="9">
        <f t="shared" si="8"/>
        <v>0.18532443266825108</v>
      </c>
      <c r="BS9" s="5">
        <f t="shared" si="9"/>
        <v>17.717593828537186</v>
      </c>
      <c r="BT9" s="5">
        <f t="shared" si="16"/>
        <v>7.0000000000000007E-2</v>
      </c>
      <c r="BU9" s="5">
        <f t="shared" si="10"/>
        <v>22.94575836759153</v>
      </c>
      <c r="BV9" s="5" t="str">
        <f t="shared" si="11"/>
        <v/>
      </c>
      <c r="BW9" s="5" t="str">
        <f t="shared" si="12"/>
        <v/>
      </c>
      <c r="BX9" s="1">
        <f t="shared" si="13"/>
        <v>22.94575836759153</v>
      </c>
    </row>
    <row r="10" spans="1:76">
      <c r="A10" s="1">
        <v>8</v>
      </c>
      <c r="B10" s="10">
        <v>3612</v>
      </c>
      <c r="C10" s="10"/>
      <c r="D10" s="4">
        <f t="shared" si="14"/>
        <v>118.16943429787645</v>
      </c>
      <c r="E10" s="3">
        <f t="shared" si="15"/>
        <v>8</v>
      </c>
      <c r="F10" s="4">
        <f t="shared" si="1"/>
        <v>11.112121045930319</v>
      </c>
      <c r="G10" s="4">
        <f t="shared" si="2"/>
        <v>21.800864613787997</v>
      </c>
      <c r="H10" s="4">
        <f t="shared" si="3"/>
        <v>3633.8008646137878</v>
      </c>
      <c r="J10" s="3" t="s">
        <v>22</v>
      </c>
      <c r="AA10" s="5">
        <f t="shared" si="4"/>
        <v>0.13111806621682087</v>
      </c>
      <c r="AB10" s="5">
        <f t="shared" si="4"/>
        <v>0.2344253091868507</v>
      </c>
      <c r="AC10" s="5">
        <f t="shared" si="4"/>
        <v>0.28129968394446214</v>
      </c>
      <c r="AD10" s="5">
        <f t="shared" si="4"/>
        <v>0.41260464493773907</v>
      </c>
      <c r="AE10" s="5">
        <f t="shared" si="4"/>
        <v>0.43049398440884529</v>
      </c>
      <c r="AF10" s="5">
        <f t="shared" si="4"/>
        <v>0.44243265517591546</v>
      </c>
      <c r="AG10" s="5">
        <f t="shared" si="4"/>
        <v>0.46243863974107452</v>
      </c>
      <c r="AH10" s="5">
        <f t="shared" si="4"/>
        <v>0.5</v>
      </c>
      <c r="AI10" s="5">
        <f t="shared" si="4"/>
        <v>0.56519504198803039</v>
      </c>
      <c r="AJ10" s="5">
        <f t="shared" si="4"/>
        <v>0.6120228611691263</v>
      </c>
      <c r="AK10" s="5">
        <f t="shared" si="5"/>
        <v>0.62780080149771378</v>
      </c>
      <c r="AL10" s="5">
        <f t="shared" si="5"/>
        <v>0.64422257459030907</v>
      </c>
      <c r="AM10" s="5">
        <f t="shared" si="5"/>
        <v>0.65759684827975518</v>
      </c>
      <c r="AN10" s="5">
        <f t="shared" si="5"/>
        <v>0.6811473802868887</v>
      </c>
      <c r="AO10" s="5">
        <f t="shared" si="5"/>
        <v>0.69954677038706248</v>
      </c>
      <c r="AP10" s="5">
        <f t="shared" si="5"/>
        <v>0.70425342576652783</v>
      </c>
      <c r="AQ10" s="5">
        <f t="shared" si="5"/>
        <v>0.70851681337968331</v>
      </c>
      <c r="AR10" s="5">
        <f t="shared" si="5"/>
        <v>0.7198249523208835</v>
      </c>
      <c r="AS10" s="5">
        <f t="shared" si="5"/>
        <v>0.76593300785235507</v>
      </c>
      <c r="AT10" s="5">
        <f t="shared" si="5"/>
        <v>0.76607787699745744</v>
      </c>
      <c r="AU10" s="5">
        <f t="shared" si="6"/>
        <v>0.76897356899149216</v>
      </c>
      <c r="AV10" s="5">
        <f t="shared" si="6"/>
        <v>0.76955231573524396</v>
      </c>
      <c r="AW10" s="5">
        <f t="shared" si="6"/>
        <v>0.77576530800709009</v>
      </c>
      <c r="AX10" s="5">
        <f t="shared" si="6"/>
        <v>0.78196197442183268</v>
      </c>
      <c r="AY10" s="5">
        <f t="shared" si="6"/>
        <v>0.78771077540609924</v>
      </c>
      <c r="AZ10" s="5">
        <f t="shared" si="6"/>
        <v>0.79987353209693168</v>
      </c>
      <c r="BA10" s="5">
        <f t="shared" si="6"/>
        <v>0.81025650930622284</v>
      </c>
      <c r="BB10" s="5">
        <f t="shared" si="6"/>
        <v>0.84683363197726613</v>
      </c>
      <c r="BC10" s="5" t="str">
        <f t="shared" si="6"/>
        <v/>
      </c>
      <c r="BD10" s="5" t="str">
        <f t="shared" si="6"/>
        <v/>
      </c>
      <c r="BE10" s="5" t="str">
        <f t="shared" si="7"/>
        <v/>
      </c>
      <c r="BF10" s="5" t="str">
        <f t="shared" si="7"/>
        <v/>
      </c>
      <c r="BG10" s="5" t="str">
        <f t="shared" si="7"/>
        <v/>
      </c>
      <c r="BH10" s="5" t="str">
        <f t="shared" si="7"/>
        <v/>
      </c>
      <c r="BI10" s="5" t="str">
        <f t="shared" si="7"/>
        <v/>
      </c>
      <c r="BJ10" s="5" t="str">
        <f t="shared" si="7"/>
        <v/>
      </c>
      <c r="BK10" s="5" t="str">
        <f t="shared" si="7"/>
        <v/>
      </c>
      <c r="BL10" s="5" t="str">
        <f t="shared" si="7"/>
        <v/>
      </c>
      <c r="BM10" s="5" t="str">
        <f t="shared" si="7"/>
        <v/>
      </c>
      <c r="BN10" s="5" t="str">
        <f t="shared" si="7"/>
        <v/>
      </c>
      <c r="BO10" s="5" t="str">
        <f t="shared" si="7"/>
        <v/>
      </c>
      <c r="BP10" s="5" t="str">
        <f t="shared" si="7"/>
        <v/>
      </c>
      <c r="BQ10" s="5" t="str">
        <f t="shared" si="7"/>
        <v/>
      </c>
      <c r="BR10" s="9">
        <f t="shared" si="8"/>
        <v>0.20913406776479501</v>
      </c>
      <c r="BS10" s="5">
        <f t="shared" si="9"/>
        <v>16.887878954069681</v>
      </c>
      <c r="BT10" s="5">
        <f t="shared" si="16"/>
        <v>0.06</v>
      </c>
      <c r="BU10" s="5">
        <f t="shared" si="10"/>
        <v>21.800864613787997</v>
      </c>
      <c r="BV10" s="5" t="str">
        <f t="shared" si="11"/>
        <v/>
      </c>
      <c r="BW10" s="5" t="str">
        <f t="shared" si="12"/>
        <v/>
      </c>
      <c r="BX10" s="1">
        <f t="shared" si="13"/>
        <v>21.800864613787997</v>
      </c>
    </row>
    <row r="11" spans="1:76">
      <c r="A11" s="1">
        <v>9</v>
      </c>
      <c r="B11" s="10">
        <v>3147</v>
      </c>
      <c r="C11" s="10"/>
      <c r="D11" s="4">
        <f t="shared" si="14"/>
        <v>112.26096258298263</v>
      </c>
      <c r="E11" s="3">
        <f t="shared" si="15"/>
        <v>9</v>
      </c>
      <c r="F11" s="4">
        <f t="shared" si="1"/>
        <v>12.623109630624683</v>
      </c>
      <c r="G11" s="4">
        <f t="shared" si="2"/>
        <v>25.52221164731916</v>
      </c>
      <c r="H11" s="4">
        <f t="shared" si="3"/>
        <v>3172.5222116473192</v>
      </c>
      <c r="J11" s="3" t="s">
        <v>28</v>
      </c>
      <c r="AA11" s="5">
        <f t="shared" si="4"/>
        <v>0.10401557467804959</v>
      </c>
      <c r="AB11" s="5">
        <f t="shared" si="4"/>
        <v>0.19065448935047277</v>
      </c>
      <c r="AC11" s="5">
        <f t="shared" si="4"/>
        <v>0.23142235177793724</v>
      </c>
      <c r="AD11" s="5">
        <f t="shared" si="4"/>
        <v>0.3508097932767873</v>
      </c>
      <c r="AE11" s="5">
        <f t="shared" si="4"/>
        <v>0.36769703817867322</v>
      </c>
      <c r="AF11" s="5">
        <f t="shared" si="4"/>
        <v>0.37905331583218649</v>
      </c>
      <c r="AG11" s="5">
        <f t="shared" si="4"/>
        <v>0.3982403596674845</v>
      </c>
      <c r="AH11" s="5">
        <f t="shared" si="4"/>
        <v>0.4348049580119695</v>
      </c>
      <c r="AI11" s="5">
        <f t="shared" si="4"/>
        <v>0.5</v>
      </c>
      <c r="AJ11" s="5">
        <f t="shared" si="4"/>
        <v>0.54823698258032727</v>
      </c>
      <c r="AK11" s="5">
        <f t="shared" si="5"/>
        <v>0.56476421575361879</v>
      </c>
      <c r="AL11" s="5">
        <f t="shared" si="5"/>
        <v>0.58211594509456199</v>
      </c>
      <c r="AM11" s="5">
        <f t="shared" si="5"/>
        <v>0.59636210902238862</v>
      </c>
      <c r="AN11" s="5">
        <f t="shared" si="5"/>
        <v>0.62170147256833264</v>
      </c>
      <c r="AO11" s="5">
        <f t="shared" si="5"/>
        <v>0.64172688964816982</v>
      </c>
      <c r="AP11" s="5">
        <f t="shared" si="5"/>
        <v>0.6468820941692075</v>
      </c>
      <c r="AQ11" s="5">
        <f t="shared" si="5"/>
        <v>0.65156333857289384</v>
      </c>
      <c r="AR11" s="5">
        <f t="shared" si="5"/>
        <v>0.6640332801819161</v>
      </c>
      <c r="AS11" s="5">
        <f t="shared" si="5"/>
        <v>0.71569653211129658</v>
      </c>
      <c r="AT11" s="5">
        <f t="shared" si="5"/>
        <v>0.71586095930222282</v>
      </c>
      <c r="AU11" s="5">
        <f t="shared" si="6"/>
        <v>0.71915038653901775</v>
      </c>
      <c r="AV11" s="5">
        <f t="shared" si="6"/>
        <v>0.71980846779946328</v>
      </c>
      <c r="AW11" s="5">
        <f t="shared" si="6"/>
        <v>0.72688661826886547</v>
      </c>
      <c r="AX11" s="5">
        <f t="shared" si="6"/>
        <v>0.73397082877575337</v>
      </c>
      <c r="AY11" s="5">
        <f t="shared" si="6"/>
        <v>0.74056516042897325</v>
      </c>
      <c r="AZ11" s="5">
        <f t="shared" si="6"/>
        <v>0.75458750546104048</v>
      </c>
      <c r="BA11" s="5">
        <f t="shared" si="6"/>
        <v>0.76663453262092307</v>
      </c>
      <c r="BB11" s="5">
        <f t="shared" si="6"/>
        <v>0.809645169702784</v>
      </c>
      <c r="BC11" s="5" t="str">
        <f t="shared" si="6"/>
        <v/>
      </c>
      <c r="BD11" s="5" t="str">
        <f t="shared" si="6"/>
        <v/>
      </c>
      <c r="BE11" s="5" t="str">
        <f t="shared" si="7"/>
        <v/>
      </c>
      <c r="BF11" s="5" t="str">
        <f t="shared" si="7"/>
        <v/>
      </c>
      <c r="BG11" s="5" t="str">
        <f t="shared" si="7"/>
        <v/>
      </c>
      <c r="BH11" s="5" t="str">
        <f t="shared" si="7"/>
        <v/>
      </c>
      <c r="BI11" s="5" t="str">
        <f t="shared" si="7"/>
        <v/>
      </c>
      <c r="BJ11" s="5" t="str">
        <f t="shared" si="7"/>
        <v/>
      </c>
      <c r="BK11" s="5" t="str">
        <f t="shared" si="7"/>
        <v/>
      </c>
      <c r="BL11" s="5" t="str">
        <f t="shared" si="7"/>
        <v/>
      </c>
      <c r="BM11" s="5" t="str">
        <f t="shared" si="7"/>
        <v/>
      </c>
      <c r="BN11" s="5" t="str">
        <f t="shared" si="7"/>
        <v/>
      </c>
      <c r="BO11" s="5" t="str">
        <f t="shared" si="7"/>
        <v/>
      </c>
      <c r="BP11" s="5" t="str">
        <f t="shared" si="7"/>
        <v/>
      </c>
      <c r="BQ11" s="5" t="str">
        <f t="shared" si="7"/>
        <v/>
      </c>
      <c r="BR11" s="9">
        <f t="shared" si="8"/>
        <v>0.25580653042037216</v>
      </c>
      <c r="BS11" s="5">
        <f t="shared" si="9"/>
        <v>15.376890369375317</v>
      </c>
      <c r="BT11" s="5">
        <f t="shared" si="16"/>
        <v>0.05</v>
      </c>
      <c r="BU11" s="5">
        <f t="shared" si="10"/>
        <v>25.52221164731916</v>
      </c>
      <c r="BV11" s="5" t="str">
        <f t="shared" si="11"/>
        <v/>
      </c>
      <c r="BW11" s="5" t="str">
        <f t="shared" si="12"/>
        <v/>
      </c>
      <c r="BX11" s="1">
        <f t="shared" si="13"/>
        <v>25.52221164731916</v>
      </c>
    </row>
    <row r="12" spans="1:76">
      <c r="A12" s="1">
        <v>10</v>
      </c>
      <c r="B12" s="10">
        <v>2823</v>
      </c>
      <c r="C12" s="10"/>
      <c r="D12" s="4">
        <f t="shared" si="14"/>
        <v>106.35249086808881</v>
      </c>
      <c r="E12" s="3">
        <f t="shared" si="15"/>
        <v>10</v>
      </c>
      <c r="F12" s="4">
        <f t="shared" si="1"/>
        <v>13.777314791080144</v>
      </c>
      <c r="G12" s="4">
        <f t="shared" si="2"/>
        <v>26.695105650572458</v>
      </c>
      <c r="H12" s="4">
        <f t="shared" si="3"/>
        <v>2849.6951056505723</v>
      </c>
      <c r="J12" s="3" t="s">
        <v>29</v>
      </c>
      <c r="AA12" s="5">
        <f t="shared" si="4"/>
        <v>8.7309919865138488E-2</v>
      </c>
      <c r="AB12" s="5">
        <f t="shared" si="4"/>
        <v>0.16255856790532339</v>
      </c>
      <c r="AC12" s="5">
        <f t="shared" si="4"/>
        <v>0.19879430074945911</v>
      </c>
      <c r="AD12" s="5">
        <f t="shared" si="4"/>
        <v>0.30809692150896101</v>
      </c>
      <c r="AE12" s="5">
        <f t="shared" si="4"/>
        <v>0.32395408231382483</v>
      </c>
      <c r="AF12" s="5">
        <f t="shared" si="4"/>
        <v>0.33467443872820762</v>
      </c>
      <c r="AG12" s="5">
        <f t="shared" si="4"/>
        <v>0.35289174643432286</v>
      </c>
      <c r="AH12" s="5">
        <f t="shared" si="4"/>
        <v>0.3879771388308737</v>
      </c>
      <c r="AI12" s="5">
        <f t="shared" si="4"/>
        <v>0.45176301741967279</v>
      </c>
      <c r="AJ12" s="5">
        <f t="shared" si="4"/>
        <v>0.5</v>
      </c>
      <c r="AK12" s="5">
        <f t="shared" si="5"/>
        <v>0.51673637292091523</v>
      </c>
      <c r="AL12" s="5">
        <f t="shared" si="5"/>
        <v>0.53442438598510333</v>
      </c>
      <c r="AM12" s="5">
        <f t="shared" si="5"/>
        <v>0.54903686242569771</v>
      </c>
      <c r="AN12" s="5">
        <f t="shared" si="5"/>
        <v>0.57523106951700531</v>
      </c>
      <c r="AO12" s="5">
        <f t="shared" si="5"/>
        <v>0.59611835084205644</v>
      </c>
      <c r="AP12" s="5">
        <f t="shared" si="5"/>
        <v>0.60152231449623206</v>
      </c>
      <c r="AQ12" s="5">
        <f t="shared" si="5"/>
        <v>0.60643904149239058</v>
      </c>
      <c r="AR12" s="5">
        <f t="shared" si="5"/>
        <v>0.61958102285418892</v>
      </c>
      <c r="AS12" s="5">
        <f t="shared" si="5"/>
        <v>0.67473156255114641</v>
      </c>
      <c r="AT12" s="5">
        <f t="shared" si="5"/>
        <v>0.67490892018807314</v>
      </c>
      <c r="AU12" s="5">
        <f t="shared" si="6"/>
        <v>0.67845949472045963</v>
      </c>
      <c r="AV12" s="5">
        <f t="shared" si="6"/>
        <v>0.67917038597746338</v>
      </c>
      <c r="AW12" s="5">
        <f t="shared" si="6"/>
        <v>0.68682848286921561</v>
      </c>
      <c r="AX12" s="5">
        <f t="shared" si="6"/>
        <v>0.69451507096608545</v>
      </c>
      <c r="AY12" s="5">
        <f t="shared" si="6"/>
        <v>0.70168992845960731</v>
      </c>
      <c r="AZ12" s="5">
        <f t="shared" si="6"/>
        <v>0.71701054350134996</v>
      </c>
      <c r="BA12" s="5">
        <f t="shared" si="6"/>
        <v>0.73024275250814386</v>
      </c>
      <c r="BB12" s="5">
        <f t="shared" si="6"/>
        <v>0.77801851288893564</v>
      </c>
      <c r="BC12" s="5" t="str">
        <f t="shared" si="6"/>
        <v/>
      </c>
      <c r="BD12" s="5" t="str">
        <f t="shared" si="6"/>
        <v/>
      </c>
      <c r="BE12" s="5" t="str">
        <f t="shared" si="7"/>
        <v/>
      </c>
      <c r="BF12" s="5" t="str">
        <f t="shared" si="7"/>
        <v/>
      </c>
      <c r="BG12" s="5" t="str">
        <f t="shared" si="7"/>
        <v/>
      </c>
      <c r="BH12" s="5" t="str">
        <f t="shared" si="7"/>
        <v/>
      </c>
      <c r="BI12" s="5" t="str">
        <f t="shared" si="7"/>
        <v/>
      </c>
      <c r="BJ12" s="5" t="str">
        <f t="shared" si="7"/>
        <v/>
      </c>
      <c r="BK12" s="5" t="str">
        <f t="shared" si="7"/>
        <v/>
      </c>
      <c r="BL12" s="5" t="str">
        <f t="shared" si="7"/>
        <v/>
      </c>
      <c r="BM12" s="5" t="str">
        <f t="shared" si="7"/>
        <v/>
      </c>
      <c r="BN12" s="5" t="str">
        <f t="shared" si="7"/>
        <v/>
      </c>
      <c r="BO12" s="5" t="str">
        <f t="shared" si="7"/>
        <v/>
      </c>
      <c r="BP12" s="5" t="str">
        <f t="shared" si="7"/>
        <v/>
      </c>
      <c r="BQ12" s="5" t="str">
        <f t="shared" si="7"/>
        <v/>
      </c>
      <c r="BR12" s="9">
        <f t="shared" si="8"/>
        <v>0.29435417591638352</v>
      </c>
      <c r="BS12" s="5">
        <f t="shared" si="9"/>
        <v>14.222685208919856</v>
      </c>
      <c r="BT12" s="5">
        <f t="shared" si="16"/>
        <v>0.04</v>
      </c>
      <c r="BU12" s="5">
        <f t="shared" si="10"/>
        <v>26.695105650572458</v>
      </c>
      <c r="BV12" s="5" t="str">
        <f t="shared" si="11"/>
        <v/>
      </c>
      <c r="BW12" s="5" t="str">
        <f t="shared" si="12"/>
        <v/>
      </c>
      <c r="BX12" s="1">
        <f t="shared" si="13"/>
        <v>26.695105650572458</v>
      </c>
    </row>
    <row r="13" spans="1:76">
      <c r="A13" s="1">
        <v>11</v>
      </c>
      <c r="B13" s="10">
        <v>2715</v>
      </c>
      <c r="C13" s="10"/>
      <c r="D13" s="4">
        <f t="shared" si="14"/>
        <v>100.44401915319499</v>
      </c>
      <c r="E13" s="3">
        <f t="shared" si="15"/>
        <v>11</v>
      </c>
      <c r="F13" s="4">
        <f t="shared" si="1"/>
        <v>14.181664795451299</v>
      </c>
      <c r="G13" s="4">
        <f t="shared" si="2"/>
        <v>22.511891396080706</v>
      </c>
      <c r="H13" s="4">
        <f t="shared" si="3"/>
        <v>2737.5118913960805</v>
      </c>
      <c r="J13" s="3" t="s">
        <v>27</v>
      </c>
      <c r="AA13" s="5">
        <f t="shared" ref="AA13:AJ22" si="17">IF(OR($B13="",AA$2=""),"",(1-EXP(-$B13/$BR$1))*EXP(-AA$2/$BR$1)/((1-EXP(-AA$2/$BR$1))*EXP(-$B13/$BR$1)+(1-EXP(-$B13/$BR$1))*EXP(-AA$2/$BR$1)))</f>
        <v>8.211866398343845E-2</v>
      </c>
      <c r="AB13" s="5">
        <f t="shared" si="17"/>
        <v>0.15364638635595387</v>
      </c>
      <c r="AC13" s="5">
        <f t="shared" si="17"/>
        <v>0.18834230688198647</v>
      </c>
      <c r="AD13" s="5">
        <f t="shared" si="17"/>
        <v>0.29400695075607247</v>
      </c>
      <c r="AE13" s="5">
        <f t="shared" si="17"/>
        <v>0.30946327623883707</v>
      </c>
      <c r="AF13" s="5">
        <f t="shared" si="17"/>
        <v>0.31993103329475986</v>
      </c>
      <c r="AG13" s="5">
        <f t="shared" si="17"/>
        <v>0.33775321784910683</v>
      </c>
      <c r="AH13" s="5">
        <f t="shared" si="17"/>
        <v>0.37219919850228628</v>
      </c>
      <c r="AI13" s="5">
        <f t="shared" si="17"/>
        <v>0.43523578424638126</v>
      </c>
      <c r="AJ13" s="5">
        <f t="shared" si="17"/>
        <v>0.48326362707908477</v>
      </c>
      <c r="AK13" s="5">
        <f t="shared" ref="AK13:AT22" si="18">IF(OR($B13="",AK$2=""),"",(1-EXP(-$B13/$BR$1))*EXP(-AK$2/$BR$1)/((1-EXP(-AK$2/$BR$1))*EXP(-$B13/$BR$1)+(1-EXP(-$B13/$BR$1))*EXP(-AK$2/$BR$1)))</f>
        <v>0.5</v>
      </c>
      <c r="AL13" s="5">
        <f t="shared" si="18"/>
        <v>0.51772887026415892</v>
      </c>
      <c r="AM13" s="5">
        <f t="shared" si="18"/>
        <v>0.5324068746914471</v>
      </c>
      <c r="AN13" s="5">
        <f t="shared" si="18"/>
        <v>0.55879078940723204</v>
      </c>
      <c r="AO13" s="5">
        <f t="shared" si="18"/>
        <v>0.57989608447749652</v>
      </c>
      <c r="AP13" s="5">
        <f t="shared" si="18"/>
        <v>0.5853661291651735</v>
      </c>
      <c r="AQ13" s="5">
        <f t="shared" si="18"/>
        <v>0.59034644244362455</v>
      </c>
      <c r="AR13" s="5">
        <f t="shared" si="18"/>
        <v>0.60367460771307013</v>
      </c>
      <c r="AS13" s="5">
        <f t="shared" si="18"/>
        <v>0.65986521140071186</v>
      </c>
      <c r="AT13" s="5">
        <f t="shared" si="18"/>
        <v>0.6600465910040636</v>
      </c>
      <c r="AU13" s="5">
        <f t="shared" ref="AU13:BD22" si="19">IF(OR($B13="",AU$2=""),"",(1-EXP(-$B13/$BR$1))*EXP(-AU$2/$BR$1)/((1-EXP(-AU$2/$BR$1))*EXP(-$B13/$BR$1)+(1-EXP(-$B13/$BR$1))*EXP(-AU$2/$BR$1)))</f>
        <v>0.66367859962403974</v>
      </c>
      <c r="AV13" s="5">
        <f t="shared" si="19"/>
        <v>0.66440600548187634</v>
      </c>
      <c r="AW13" s="5">
        <f t="shared" si="19"/>
        <v>0.67224645224569213</v>
      </c>
      <c r="AX13" s="5">
        <f t="shared" si="19"/>
        <v>0.68012425941150612</v>
      </c>
      <c r="AY13" s="5">
        <f t="shared" si="19"/>
        <v>0.68748502169091597</v>
      </c>
      <c r="AZ13" s="5">
        <f t="shared" si="19"/>
        <v>0.70322662205758713</v>
      </c>
      <c r="BA13" s="5">
        <f t="shared" si="19"/>
        <v>0.71684882542278694</v>
      </c>
      <c r="BB13" s="5">
        <f t="shared" si="19"/>
        <v>0.76623737285941163</v>
      </c>
      <c r="BC13" s="5" t="str">
        <f t="shared" si="19"/>
        <v/>
      </c>
      <c r="BD13" s="5" t="str">
        <f t="shared" si="19"/>
        <v/>
      </c>
      <c r="BE13" s="5" t="str">
        <f t="shared" ref="BE13:BQ22" si="20">IF(OR($B13="",BE$2=""),"",(1-EXP(-$B13/$BR$1))*EXP(-BE$2/$BR$1)/((1-EXP(-BE$2/$BR$1))*EXP(-$B13/$BR$1)+(1-EXP(-$B13/$BR$1))*EXP(-BE$2/$BR$1)))</f>
        <v/>
      </c>
      <c r="BF13" s="5" t="str">
        <f t="shared" si="20"/>
        <v/>
      </c>
      <c r="BG13" s="5" t="str">
        <f t="shared" si="20"/>
        <v/>
      </c>
      <c r="BH13" s="5" t="str">
        <f t="shared" si="20"/>
        <v/>
      </c>
      <c r="BI13" s="5" t="str">
        <f t="shared" si="20"/>
        <v/>
      </c>
      <c r="BJ13" s="5" t="str">
        <f t="shared" si="20"/>
        <v/>
      </c>
      <c r="BK13" s="5" t="str">
        <f t="shared" si="20"/>
        <v/>
      </c>
      <c r="BL13" s="5" t="str">
        <f t="shared" si="20"/>
        <v/>
      </c>
      <c r="BM13" s="5" t="str">
        <f t="shared" si="20"/>
        <v/>
      </c>
      <c r="BN13" s="5" t="str">
        <f t="shared" si="20"/>
        <v/>
      </c>
      <c r="BO13" s="5" t="str">
        <f t="shared" si="20"/>
        <v/>
      </c>
      <c r="BP13" s="5" t="str">
        <f t="shared" si="20"/>
        <v/>
      </c>
      <c r="BQ13" s="5" t="str">
        <f t="shared" si="20"/>
        <v/>
      </c>
      <c r="BR13" s="9">
        <f t="shared" si="8"/>
        <v>0.30845351675529936</v>
      </c>
      <c r="BS13" s="5">
        <f t="shared" si="9"/>
        <v>13.818335204548701</v>
      </c>
      <c r="BT13" s="5">
        <f t="shared" si="16"/>
        <v>0.03</v>
      </c>
      <c r="BU13" s="5">
        <f t="shared" si="10"/>
        <v>22.511891396080706</v>
      </c>
      <c r="BV13" s="5" t="str">
        <f t="shared" si="11"/>
        <v/>
      </c>
      <c r="BW13" s="5" t="str">
        <f t="shared" si="12"/>
        <v/>
      </c>
      <c r="BX13" s="1">
        <f t="shared" si="13"/>
        <v>22.511891396080706</v>
      </c>
    </row>
    <row r="14" spans="1:76">
      <c r="A14" s="1">
        <v>12</v>
      </c>
      <c r="B14" s="10">
        <v>2603</v>
      </c>
      <c r="C14" s="10"/>
      <c r="D14" s="4">
        <f t="shared" si="14"/>
        <v>94.535547438301165</v>
      </c>
      <c r="E14" s="3">
        <f t="shared" si="15"/>
        <v>12</v>
      </c>
      <c r="F14" s="4">
        <f t="shared" si="1"/>
        <v>14.611732510915967</v>
      </c>
      <c r="G14" s="4">
        <f t="shared" si="2"/>
        <v>18.512375077971196</v>
      </c>
      <c r="H14" s="4">
        <f t="shared" si="3"/>
        <v>2621.5123750779712</v>
      </c>
      <c r="AA14" s="5">
        <f t="shared" si="17"/>
        <v>7.692724017704744E-2</v>
      </c>
      <c r="AB14" s="5">
        <f t="shared" si="17"/>
        <v>0.14464566984999286</v>
      </c>
      <c r="AC14" s="5">
        <f t="shared" si="17"/>
        <v>0.17773590975499959</v>
      </c>
      <c r="AD14" s="5">
        <f t="shared" si="17"/>
        <v>0.27949917771198707</v>
      </c>
      <c r="AE14" s="5">
        <f t="shared" si="17"/>
        <v>0.294510974392381</v>
      </c>
      <c r="AF14" s="5">
        <f t="shared" si="17"/>
        <v>0.30469613043932992</v>
      </c>
      <c r="AG14" s="5">
        <f t="shared" si="17"/>
        <v>0.32207155818209032</v>
      </c>
      <c r="AH14" s="5">
        <f t="shared" si="17"/>
        <v>0.35577742540969093</v>
      </c>
      <c r="AI14" s="5">
        <f t="shared" si="17"/>
        <v>0.41788405490543801</v>
      </c>
      <c r="AJ14" s="5">
        <f t="shared" si="17"/>
        <v>0.46557561401489672</v>
      </c>
      <c r="AK14" s="5">
        <f t="shared" si="18"/>
        <v>0.48227112973584108</v>
      </c>
      <c r="AL14" s="5">
        <f t="shared" si="18"/>
        <v>0.5</v>
      </c>
      <c r="AM14" s="5">
        <f t="shared" si="18"/>
        <v>0.51471181437036473</v>
      </c>
      <c r="AN14" s="5">
        <f t="shared" si="18"/>
        <v>0.54123383028455663</v>
      </c>
      <c r="AO14" s="5">
        <f t="shared" si="18"/>
        <v>0.56252145258998698</v>
      </c>
      <c r="AP14" s="5">
        <f t="shared" si="18"/>
        <v>0.56804921387888307</v>
      </c>
      <c r="AQ14" s="5">
        <f t="shared" si="18"/>
        <v>0.57308583027494453</v>
      </c>
      <c r="AR14" s="5">
        <f t="shared" si="18"/>
        <v>0.58658230219549901</v>
      </c>
      <c r="AS14" s="5">
        <f t="shared" si="18"/>
        <v>0.64376620688851349</v>
      </c>
      <c r="AT14" s="5">
        <f t="shared" si="18"/>
        <v>0.64395153918317105</v>
      </c>
      <c r="AU14" s="5">
        <f t="shared" si="19"/>
        <v>0.64766371326456551</v>
      </c>
      <c r="AV14" s="5">
        <f t="shared" si="19"/>
        <v>0.64840740693015908</v>
      </c>
      <c r="AW14" s="5">
        <f t="shared" si="19"/>
        <v>0.65642834483127888</v>
      </c>
      <c r="AX14" s="5">
        <f t="shared" si="19"/>
        <v>0.66449660270593636</v>
      </c>
      <c r="AY14" s="5">
        <f t="shared" si="19"/>
        <v>0.67204357231309886</v>
      </c>
      <c r="AZ14" s="5">
        <f t="shared" si="19"/>
        <v>0.68821022125332709</v>
      </c>
      <c r="BA14" s="5">
        <f t="shared" si="19"/>
        <v>0.70222983315057275</v>
      </c>
      <c r="BB14" s="5">
        <f t="shared" si="19"/>
        <v>0.75329072039548006</v>
      </c>
      <c r="BC14" s="5" t="str">
        <f t="shared" si="19"/>
        <v/>
      </c>
      <c r="BD14" s="5" t="str">
        <f t="shared" si="19"/>
        <v/>
      </c>
      <c r="BE14" s="5" t="str">
        <f t="shared" si="20"/>
        <v/>
      </c>
      <c r="BF14" s="5" t="str">
        <f t="shared" si="20"/>
        <v/>
      </c>
      <c r="BG14" s="5" t="str">
        <f t="shared" si="20"/>
        <v/>
      </c>
      <c r="BH14" s="5" t="str">
        <f t="shared" si="20"/>
        <v/>
      </c>
      <c r="BI14" s="5" t="str">
        <f t="shared" si="20"/>
        <v/>
      </c>
      <c r="BJ14" s="5" t="str">
        <f t="shared" si="20"/>
        <v/>
      </c>
      <c r="BK14" s="5" t="str">
        <f t="shared" si="20"/>
        <v/>
      </c>
      <c r="BL14" s="5" t="str">
        <f t="shared" si="20"/>
        <v/>
      </c>
      <c r="BM14" s="5" t="str">
        <f t="shared" si="20"/>
        <v/>
      </c>
      <c r="BN14" s="5" t="str">
        <f t="shared" si="20"/>
        <v/>
      </c>
      <c r="BO14" s="5" t="str">
        <f t="shared" si="20"/>
        <v/>
      </c>
      <c r="BP14" s="5" t="str">
        <f t="shared" si="20"/>
        <v/>
      </c>
      <c r="BQ14" s="5" t="str">
        <f t="shared" si="20"/>
        <v/>
      </c>
      <c r="BR14" s="9">
        <f t="shared" si="8"/>
        <v>0.32378880266024507</v>
      </c>
      <c r="BS14" s="5">
        <f t="shared" si="9"/>
        <v>13.388267489084033</v>
      </c>
      <c r="BT14" s="5">
        <f t="shared" si="16"/>
        <v>0.02</v>
      </c>
      <c r="BU14" s="5">
        <f t="shared" si="10"/>
        <v>18.512375077971196</v>
      </c>
      <c r="BV14" s="5" t="str">
        <f t="shared" si="11"/>
        <v/>
      </c>
      <c r="BW14" s="5" t="str">
        <f t="shared" si="12"/>
        <v/>
      </c>
      <c r="BX14" s="1">
        <f t="shared" si="13"/>
        <v>18.512375077971196</v>
      </c>
    </row>
    <row r="15" spans="1:76">
      <c r="A15" s="1">
        <v>13</v>
      </c>
      <c r="B15" s="10">
        <v>2512</v>
      </c>
      <c r="C15" s="10"/>
      <c r="D15" s="4">
        <f t="shared" si="14"/>
        <v>88.62707572340733</v>
      </c>
      <c r="E15" s="3">
        <f t="shared" si="15"/>
        <v>13</v>
      </c>
      <c r="F15" s="4">
        <f t="shared" si="1"/>
        <v>14.969388334066169</v>
      </c>
      <c r="G15" s="4">
        <f t="shared" si="2"/>
        <v>13.995630957615491</v>
      </c>
      <c r="H15" s="4">
        <f t="shared" si="3"/>
        <v>2525.9956309576155</v>
      </c>
      <c r="J15" s="3" t="s">
        <v>33</v>
      </c>
      <c r="AA15" s="5">
        <f t="shared" si="17"/>
        <v>7.2850038144072635E-2</v>
      </c>
      <c r="AB15" s="5">
        <f t="shared" si="17"/>
        <v>0.13751402721205574</v>
      </c>
      <c r="AC15" s="5">
        <f t="shared" si="17"/>
        <v>0.16929569027195973</v>
      </c>
      <c r="AD15" s="5">
        <f t="shared" si="17"/>
        <v>0.26780035543335956</v>
      </c>
      <c r="AE15" s="5">
        <f t="shared" si="17"/>
        <v>0.28243011635548465</v>
      </c>
      <c r="AF15" s="5">
        <f t="shared" si="17"/>
        <v>0.29237062068605896</v>
      </c>
      <c r="AG15" s="5">
        <f t="shared" si="17"/>
        <v>0.30935590206163027</v>
      </c>
      <c r="AH15" s="5">
        <f t="shared" si="17"/>
        <v>0.34240315172024494</v>
      </c>
      <c r="AI15" s="5">
        <f t="shared" si="17"/>
        <v>0.40363789097761149</v>
      </c>
      <c r="AJ15" s="5">
        <f t="shared" si="17"/>
        <v>0.45096313757430223</v>
      </c>
      <c r="AK15" s="5">
        <f t="shared" si="18"/>
        <v>0.46759312530855285</v>
      </c>
      <c r="AL15" s="5">
        <f t="shared" si="18"/>
        <v>0.48528818562963522</v>
      </c>
      <c r="AM15" s="5">
        <f t="shared" si="18"/>
        <v>0.5</v>
      </c>
      <c r="AN15" s="5">
        <f t="shared" si="18"/>
        <v>0.52658652806679218</v>
      </c>
      <c r="AO15" s="5">
        <f t="shared" si="18"/>
        <v>0.54798618977772762</v>
      </c>
      <c r="AP15" s="5">
        <f t="shared" si="18"/>
        <v>0.55355184840009874</v>
      </c>
      <c r="AQ15" s="5">
        <f t="shared" si="18"/>
        <v>0.55862616120071029</v>
      </c>
      <c r="AR15" s="5">
        <f t="shared" si="18"/>
        <v>0.57223855271668933</v>
      </c>
      <c r="AS15" s="5">
        <f t="shared" si="18"/>
        <v>0.63015554053873113</v>
      </c>
      <c r="AT15" s="5">
        <f t="shared" si="18"/>
        <v>0.63034388786749818</v>
      </c>
      <c r="AU15" s="5">
        <f t="shared" si="19"/>
        <v>0.63411732541606047</v>
      </c>
      <c r="AV15" s="5">
        <f t="shared" si="19"/>
        <v>0.63487349252318181</v>
      </c>
      <c r="AW15" s="5">
        <f t="shared" si="19"/>
        <v>0.64303320533788999</v>
      </c>
      <c r="AX15" s="5">
        <f t="shared" si="19"/>
        <v>0.65124890403398694</v>
      </c>
      <c r="AY15" s="5">
        <f t="shared" si="19"/>
        <v>0.65894092231424162</v>
      </c>
      <c r="AZ15" s="5">
        <f t="shared" si="19"/>
        <v>0.67544153687964481</v>
      </c>
      <c r="BA15" s="5">
        <f t="shared" si="19"/>
        <v>0.68977648631916499</v>
      </c>
      <c r="BB15" s="5">
        <f t="shared" si="19"/>
        <v>0.74218884316644784</v>
      </c>
      <c r="BC15" s="5" t="str">
        <f t="shared" si="19"/>
        <v/>
      </c>
      <c r="BD15" s="5" t="str">
        <f t="shared" si="19"/>
        <v/>
      </c>
      <c r="BE15" s="5" t="str">
        <f t="shared" si="20"/>
        <v/>
      </c>
      <c r="BF15" s="5" t="str">
        <f t="shared" si="20"/>
        <v/>
      </c>
      <c r="BG15" s="5" t="str">
        <f t="shared" si="20"/>
        <v/>
      </c>
      <c r="BH15" s="5" t="str">
        <f t="shared" si="20"/>
        <v/>
      </c>
      <c r="BI15" s="5" t="str">
        <f t="shared" si="20"/>
        <v/>
      </c>
      <c r="BJ15" s="5" t="str">
        <f t="shared" si="20"/>
        <v/>
      </c>
      <c r="BK15" s="5" t="str">
        <f t="shared" si="20"/>
        <v/>
      </c>
      <c r="BL15" s="5" t="str">
        <f t="shared" si="20"/>
        <v/>
      </c>
      <c r="BM15" s="5" t="str">
        <f t="shared" si="20"/>
        <v/>
      </c>
      <c r="BN15" s="5" t="str">
        <f t="shared" si="20"/>
        <v/>
      </c>
      <c r="BO15" s="5" t="str">
        <f t="shared" si="20"/>
        <v/>
      </c>
      <c r="BP15" s="5" t="str">
        <f t="shared" si="20"/>
        <v/>
      </c>
      <c r="BQ15" s="5" t="str">
        <f t="shared" si="20"/>
        <v/>
      </c>
      <c r="BR15" s="9">
        <f t="shared" si="8"/>
        <v>0.33680839421642256</v>
      </c>
      <c r="BS15" s="5">
        <f t="shared" si="9"/>
        <v>13.030611665933831</v>
      </c>
      <c r="BT15" s="5">
        <f t="shared" si="16"/>
        <v>0.01</v>
      </c>
      <c r="BU15" s="5">
        <f t="shared" si="10"/>
        <v>13.995630957615491</v>
      </c>
      <c r="BV15" s="5" t="str">
        <f t="shared" si="11"/>
        <v/>
      </c>
      <c r="BW15" s="5" t="str">
        <f t="shared" si="12"/>
        <v/>
      </c>
      <c r="BX15" s="1">
        <f t="shared" si="13"/>
        <v>13.995630957615491</v>
      </c>
    </row>
    <row r="16" spans="1:76">
      <c r="A16" s="1">
        <v>14</v>
      </c>
      <c r="B16" s="10">
        <v>2352</v>
      </c>
      <c r="C16" s="10"/>
      <c r="D16" s="4">
        <f t="shared" si="14"/>
        <v>82.718604008513523</v>
      </c>
      <c r="E16" s="3">
        <f t="shared" si="15"/>
        <v>14</v>
      </c>
      <c r="F16" s="4">
        <f t="shared" si="1"/>
        <v>15.616572205542072</v>
      </c>
      <c r="G16" s="4">
        <f t="shared" si="2"/>
        <v>11.546944325300514</v>
      </c>
      <c r="H16" s="4">
        <f t="shared" si="3"/>
        <v>2363.5469443253005</v>
      </c>
      <c r="J16" s="3" t="s">
        <v>39</v>
      </c>
      <c r="AA16" s="5">
        <f t="shared" si="17"/>
        <v>6.5979224044895673E-2</v>
      </c>
      <c r="AB16" s="5">
        <f t="shared" si="17"/>
        <v>0.12536913461848648</v>
      </c>
      <c r="AC16" s="5">
        <f t="shared" si="17"/>
        <v>0.15484785847737928</v>
      </c>
      <c r="AD16" s="5">
        <f t="shared" si="17"/>
        <v>0.24745017393891891</v>
      </c>
      <c r="AE16" s="5">
        <f t="shared" si="17"/>
        <v>0.26136505475127059</v>
      </c>
      <c r="AF16" s="5">
        <f t="shared" si="17"/>
        <v>0.2708439896162898</v>
      </c>
      <c r="AG16" s="5">
        <f t="shared" si="17"/>
        <v>0.28708604655555248</v>
      </c>
      <c r="AH16" s="5">
        <f t="shared" si="17"/>
        <v>0.31885261971311124</v>
      </c>
      <c r="AI16" s="5">
        <f t="shared" si="17"/>
        <v>0.37829852743166725</v>
      </c>
      <c r="AJ16" s="5">
        <f t="shared" si="17"/>
        <v>0.42476893048299474</v>
      </c>
      <c r="AK16" s="5">
        <f t="shared" si="18"/>
        <v>0.44120921059276802</v>
      </c>
      <c r="AL16" s="5">
        <f t="shared" si="18"/>
        <v>0.45876616971544326</v>
      </c>
      <c r="AM16" s="5">
        <f t="shared" si="18"/>
        <v>0.47341347193320782</v>
      </c>
      <c r="AN16" s="5">
        <f t="shared" si="18"/>
        <v>0.5</v>
      </c>
      <c r="AO16" s="5">
        <f t="shared" si="18"/>
        <v>0.5215094274320814</v>
      </c>
      <c r="AP16" s="5">
        <f t="shared" si="18"/>
        <v>0.5271197682510107</v>
      </c>
      <c r="AQ16" s="5">
        <f t="shared" si="18"/>
        <v>0.53224064271875782</v>
      </c>
      <c r="AR16" s="5">
        <f t="shared" si="18"/>
        <v>0.54600545183740135</v>
      </c>
      <c r="AS16" s="5">
        <f t="shared" si="18"/>
        <v>0.60502268775659662</v>
      </c>
      <c r="AT16" s="5">
        <f t="shared" si="18"/>
        <v>0.60521581574677819</v>
      </c>
      <c r="AU16" s="5">
        <f t="shared" si="19"/>
        <v>0.6090866850454798</v>
      </c>
      <c r="AV16" s="5">
        <f t="shared" si="19"/>
        <v>0.60986275579909444</v>
      </c>
      <c r="AW16" s="5">
        <f t="shared" si="19"/>
        <v>0.61824530966960156</v>
      </c>
      <c r="AX16" s="5">
        <f t="shared" si="19"/>
        <v>0.62670031672367488</v>
      </c>
      <c r="AY16" s="5">
        <f t="shared" si="19"/>
        <v>0.63463001156342835</v>
      </c>
      <c r="AZ16" s="5">
        <f t="shared" si="19"/>
        <v>0.65168507698608247</v>
      </c>
      <c r="BA16" s="5">
        <f t="shared" si="19"/>
        <v>0.66655129507722766</v>
      </c>
      <c r="BB16" s="5">
        <f t="shared" si="19"/>
        <v>0.72130213797872622</v>
      </c>
      <c r="BC16" s="5" t="str">
        <f t="shared" si="19"/>
        <v/>
      </c>
      <c r="BD16" s="5" t="str">
        <f t="shared" si="19"/>
        <v/>
      </c>
      <c r="BE16" s="5" t="str">
        <f t="shared" si="20"/>
        <v/>
      </c>
      <c r="BF16" s="5" t="str">
        <f t="shared" si="20"/>
        <v/>
      </c>
      <c r="BG16" s="5" t="str">
        <f t="shared" si="20"/>
        <v/>
      </c>
      <c r="BH16" s="5" t="str">
        <f t="shared" si="20"/>
        <v/>
      </c>
      <c r="BI16" s="5" t="str">
        <f t="shared" si="20"/>
        <v/>
      </c>
      <c r="BJ16" s="5" t="str">
        <f t="shared" si="20"/>
        <v/>
      </c>
      <c r="BK16" s="5" t="str">
        <f t="shared" si="20"/>
        <v/>
      </c>
      <c r="BL16" s="5" t="str">
        <f t="shared" si="20"/>
        <v/>
      </c>
      <c r="BM16" s="5" t="str">
        <f t="shared" si="20"/>
        <v/>
      </c>
      <c r="BN16" s="5" t="str">
        <f t="shared" si="20"/>
        <v/>
      </c>
      <c r="BO16" s="5" t="str">
        <f t="shared" si="20"/>
        <v/>
      </c>
      <c r="BP16" s="5" t="str">
        <f t="shared" si="20"/>
        <v/>
      </c>
      <c r="BQ16" s="5" t="str">
        <f t="shared" si="20"/>
        <v/>
      </c>
      <c r="BR16" s="9">
        <f t="shared" si="8"/>
        <v>0.36098229888062405</v>
      </c>
      <c r="BS16" s="5">
        <f t="shared" si="9"/>
        <v>12.383427794457928</v>
      </c>
      <c r="BT16" s="5">
        <f t="shared" si="16"/>
        <v>0</v>
      </c>
      <c r="BU16" s="5">
        <f t="shared" si="10"/>
        <v>11.546944325300514</v>
      </c>
      <c r="BV16" s="5" t="str">
        <f t="shared" si="11"/>
        <v/>
      </c>
      <c r="BW16" s="5" t="str">
        <f t="shared" si="12"/>
        <v/>
      </c>
      <c r="BX16" s="1">
        <f t="shared" si="13"/>
        <v>11.546944325300514</v>
      </c>
    </row>
    <row r="17" spans="1:76">
      <c r="A17" s="1">
        <v>15</v>
      </c>
      <c r="B17" s="10">
        <v>2227</v>
      </c>
      <c r="C17" s="10"/>
      <c r="D17" s="4">
        <f t="shared" si="14"/>
        <v>76.810132293619702</v>
      </c>
      <c r="E17" s="3">
        <f t="shared" si="15"/>
        <v>15</v>
      </c>
      <c r="F17" s="4">
        <f t="shared" si="1"/>
        <v>16.13888967461067</v>
      </c>
      <c r="G17" s="4">
        <f t="shared" si="2"/>
        <v>8.2063548186476449</v>
      </c>
      <c r="H17" s="4">
        <f t="shared" si="3"/>
        <v>2235.2063548186475</v>
      </c>
      <c r="AA17" s="5">
        <f t="shared" si="17"/>
        <v>6.0867933657498131E-2</v>
      </c>
      <c r="AB17" s="5">
        <f t="shared" si="17"/>
        <v>0.11622954302208297</v>
      </c>
      <c r="AC17" s="5">
        <f t="shared" si="17"/>
        <v>0.14391283113669712</v>
      </c>
      <c r="AD17" s="5">
        <f t="shared" si="17"/>
        <v>0.23176908473241981</v>
      </c>
      <c r="AE17" s="5">
        <f t="shared" si="17"/>
        <v>0.24508935184089972</v>
      </c>
      <c r="AF17" s="5">
        <f t="shared" si="17"/>
        <v>0.25418114113773371</v>
      </c>
      <c r="AG17" s="5">
        <f t="shared" si="17"/>
        <v>0.26979368321648856</v>
      </c>
      <c r="AH17" s="5">
        <f t="shared" si="17"/>
        <v>0.30045322961293752</v>
      </c>
      <c r="AI17" s="5">
        <f t="shared" si="17"/>
        <v>0.35827311035183007</v>
      </c>
      <c r="AJ17" s="5">
        <f t="shared" si="17"/>
        <v>0.40388164915794356</v>
      </c>
      <c r="AK17" s="5">
        <f t="shared" si="18"/>
        <v>0.42010391552250342</v>
      </c>
      <c r="AL17" s="5">
        <f t="shared" si="18"/>
        <v>0.43747854741001307</v>
      </c>
      <c r="AM17" s="5">
        <f t="shared" si="18"/>
        <v>0.45201381022227233</v>
      </c>
      <c r="AN17" s="5">
        <f t="shared" si="18"/>
        <v>0.4784905725679186</v>
      </c>
      <c r="AO17" s="5">
        <f t="shared" si="18"/>
        <v>0.5</v>
      </c>
      <c r="AP17" s="5">
        <f t="shared" si="18"/>
        <v>0.50562346217113951</v>
      </c>
      <c r="AQ17" s="5">
        <f t="shared" si="18"/>
        <v>0.51076106552535128</v>
      </c>
      <c r="AR17" s="5">
        <f t="shared" si="18"/>
        <v>0.52459336997361816</v>
      </c>
      <c r="AS17" s="5">
        <f t="shared" si="18"/>
        <v>0.58427475959593811</v>
      </c>
      <c r="AT17" s="5">
        <f t="shared" si="18"/>
        <v>0.58447106497990986</v>
      </c>
      <c r="AU17" s="5">
        <f t="shared" si="19"/>
        <v>0.58840700764333131</v>
      </c>
      <c r="AV17" s="5">
        <f t="shared" si="19"/>
        <v>0.5891964434679543</v>
      </c>
      <c r="AW17" s="5">
        <f t="shared" si="19"/>
        <v>0.5977301453075432</v>
      </c>
      <c r="AX17" s="5">
        <f t="shared" si="19"/>
        <v>0.60635021350853902</v>
      </c>
      <c r="AY17" s="5">
        <f t="shared" si="19"/>
        <v>0.61444624449190344</v>
      </c>
      <c r="AZ17" s="5">
        <f t="shared" si="19"/>
        <v>0.63189698923225068</v>
      </c>
      <c r="BA17" s="5">
        <f t="shared" si="19"/>
        <v>0.64715048882481996</v>
      </c>
      <c r="BB17" s="5">
        <f t="shared" si="19"/>
        <v>0.70367066707779236</v>
      </c>
      <c r="BC17" s="5" t="str">
        <f t="shared" si="19"/>
        <v/>
      </c>
      <c r="BD17" s="5" t="str">
        <f t="shared" si="19"/>
        <v/>
      </c>
      <c r="BE17" s="5" t="str">
        <f t="shared" si="20"/>
        <v/>
      </c>
      <c r="BF17" s="5" t="str">
        <f t="shared" si="20"/>
        <v/>
      </c>
      <c r="BG17" s="5" t="str">
        <f t="shared" si="20"/>
        <v/>
      </c>
      <c r="BH17" s="5" t="str">
        <f t="shared" si="20"/>
        <v/>
      </c>
      <c r="BI17" s="5" t="str">
        <f t="shared" si="20"/>
        <v/>
      </c>
      <c r="BJ17" s="5" t="str">
        <f t="shared" si="20"/>
        <v/>
      </c>
      <c r="BK17" s="5" t="str">
        <f t="shared" si="20"/>
        <v/>
      </c>
      <c r="BL17" s="5" t="str">
        <f t="shared" si="20"/>
        <v/>
      </c>
      <c r="BM17" s="5" t="str">
        <f t="shared" si="20"/>
        <v/>
      </c>
      <c r="BN17" s="5" t="str">
        <f t="shared" si="20"/>
        <v/>
      </c>
      <c r="BO17" s="5" t="str">
        <f t="shared" si="20"/>
        <v/>
      </c>
      <c r="BP17" s="5" t="str">
        <f t="shared" si="20"/>
        <v/>
      </c>
      <c r="BQ17" s="5" t="str">
        <f t="shared" si="20"/>
        <v/>
      </c>
      <c r="BR17" s="9">
        <f t="shared" si="8"/>
        <v>0.38106922328684034</v>
      </c>
      <c r="BS17" s="5">
        <f t="shared" si="9"/>
        <v>11.86111032538933</v>
      </c>
      <c r="BT17" s="5">
        <f t="shared" si="16"/>
        <v>-0.01</v>
      </c>
      <c r="BU17" s="5">
        <f t="shared" si="10"/>
        <v>8.2063548186476449</v>
      </c>
      <c r="BV17" s="5" t="str">
        <f t="shared" si="11"/>
        <v/>
      </c>
      <c r="BW17" s="5" t="str">
        <f t="shared" si="12"/>
        <v/>
      </c>
      <c r="BX17" s="1">
        <f t="shared" si="13"/>
        <v>8.2063548186476449</v>
      </c>
    </row>
    <row r="18" spans="1:76">
      <c r="A18" s="1">
        <v>16</v>
      </c>
      <c r="B18" s="10">
        <v>2195</v>
      </c>
      <c r="C18" s="10"/>
      <c r="D18" s="4">
        <f t="shared" si="14"/>
        <v>70.901660578725867</v>
      </c>
      <c r="E18" s="3">
        <f t="shared" si="15"/>
        <v>16</v>
      </c>
      <c r="F18" s="4">
        <f t="shared" si="1"/>
        <v>16.275012799864264</v>
      </c>
      <c r="G18" s="4">
        <f t="shared" si="2"/>
        <v>2.1072342847447425</v>
      </c>
      <c r="H18" s="4">
        <f t="shared" si="3"/>
        <v>2197.1072342847447</v>
      </c>
      <c r="J18" s="3" t="s">
        <v>11</v>
      </c>
      <c r="AA18" s="5">
        <f t="shared" si="17"/>
        <v>5.9594693917971002E-2</v>
      </c>
      <c r="AB18" s="5">
        <f t="shared" si="17"/>
        <v>0.11393874482597849</v>
      </c>
      <c r="AC18" s="5">
        <f t="shared" si="17"/>
        <v>0.14116356658595566</v>
      </c>
      <c r="AD18" s="5">
        <f t="shared" si="17"/>
        <v>0.22778802592531966</v>
      </c>
      <c r="AE18" s="5">
        <f t="shared" si="17"/>
        <v>0.24095125485149085</v>
      </c>
      <c r="AF18" s="5">
        <f t="shared" si="17"/>
        <v>0.24994036178463536</v>
      </c>
      <c r="AG18" s="5">
        <f t="shared" si="17"/>
        <v>0.26538510998195614</v>
      </c>
      <c r="AH18" s="5">
        <f t="shared" si="17"/>
        <v>0.29574657423347223</v>
      </c>
      <c r="AI18" s="5">
        <f t="shared" si="17"/>
        <v>0.35311790583079261</v>
      </c>
      <c r="AJ18" s="5">
        <f t="shared" si="17"/>
        <v>0.39847768550376794</v>
      </c>
      <c r="AK18" s="5">
        <f t="shared" si="18"/>
        <v>0.41463387083482645</v>
      </c>
      <c r="AL18" s="5">
        <f t="shared" si="18"/>
        <v>0.43195078612111693</v>
      </c>
      <c r="AM18" s="5">
        <f t="shared" si="18"/>
        <v>0.44644815159990126</v>
      </c>
      <c r="AN18" s="5">
        <f t="shared" si="18"/>
        <v>0.47288023174898924</v>
      </c>
      <c r="AO18" s="5">
        <f t="shared" si="18"/>
        <v>0.49437653782886043</v>
      </c>
      <c r="AP18" s="5">
        <f t="shared" si="18"/>
        <v>0.5</v>
      </c>
      <c r="AQ18" s="5">
        <f t="shared" si="18"/>
        <v>0.5051388472521674</v>
      </c>
      <c r="AR18" s="5">
        <f t="shared" si="18"/>
        <v>0.51898040775537158</v>
      </c>
      <c r="AS18" s="5">
        <f t="shared" si="18"/>
        <v>0.57880067700697002</v>
      </c>
      <c r="AT18" s="5">
        <f t="shared" si="18"/>
        <v>0.57899770471650613</v>
      </c>
      <c r="AU18" s="5">
        <f t="shared" si="19"/>
        <v>0.58294849800437432</v>
      </c>
      <c r="AV18" s="5">
        <f t="shared" si="19"/>
        <v>0.58374099682970226</v>
      </c>
      <c r="AW18" s="5">
        <f t="shared" si="19"/>
        <v>0.59230960985337788</v>
      </c>
      <c r="AX18" s="5">
        <f t="shared" si="19"/>
        <v>0.600968290267198</v>
      </c>
      <c r="AY18" s="5">
        <f t="shared" si="19"/>
        <v>0.60910365183463244</v>
      </c>
      <c r="AZ18" s="5">
        <f t="shared" si="19"/>
        <v>0.62664927912409696</v>
      </c>
      <c r="BA18" s="5">
        <f t="shared" si="19"/>
        <v>0.64199703411444276</v>
      </c>
      <c r="BB18" s="5">
        <f t="shared" si="19"/>
        <v>0.69895870180186215</v>
      </c>
      <c r="BC18" s="5" t="str">
        <f t="shared" si="19"/>
        <v/>
      </c>
      <c r="BD18" s="5" t="str">
        <f t="shared" si="19"/>
        <v/>
      </c>
      <c r="BE18" s="5" t="str">
        <f t="shared" si="20"/>
        <v/>
      </c>
      <c r="BF18" s="5" t="str">
        <f t="shared" si="20"/>
        <v/>
      </c>
      <c r="BG18" s="5" t="str">
        <f t="shared" si="20"/>
        <v/>
      </c>
      <c r="BH18" s="5" t="str">
        <f t="shared" si="20"/>
        <v/>
      </c>
      <c r="BI18" s="5" t="str">
        <f t="shared" si="20"/>
        <v/>
      </c>
      <c r="BJ18" s="5" t="str">
        <f t="shared" si="20"/>
        <v/>
      </c>
      <c r="BK18" s="5" t="str">
        <f t="shared" si="20"/>
        <v/>
      </c>
      <c r="BL18" s="5" t="str">
        <f t="shared" si="20"/>
        <v/>
      </c>
      <c r="BM18" s="5" t="str">
        <f t="shared" si="20"/>
        <v/>
      </c>
      <c r="BN18" s="5" t="str">
        <f t="shared" si="20"/>
        <v/>
      </c>
      <c r="BO18" s="5" t="str">
        <f t="shared" si="20"/>
        <v/>
      </c>
      <c r="BP18" s="5" t="str">
        <f t="shared" si="20"/>
        <v/>
      </c>
      <c r="BQ18" s="5" t="str">
        <f t="shared" si="20"/>
        <v/>
      </c>
      <c r="BR18" s="9">
        <f t="shared" si="8"/>
        <v>0.38638875140791512</v>
      </c>
      <c r="BS18" s="5">
        <f t="shared" si="9"/>
        <v>11.724987200135736</v>
      </c>
      <c r="BT18" s="5">
        <f t="shared" si="16"/>
        <v>-0.02</v>
      </c>
      <c r="BU18" s="5">
        <f t="shared" si="10"/>
        <v>2.1072342847447425</v>
      </c>
      <c r="BV18" s="5" t="str">
        <f t="shared" si="11"/>
        <v/>
      </c>
      <c r="BW18" s="5" t="str">
        <f t="shared" si="12"/>
        <v/>
      </c>
      <c r="BX18" s="1">
        <f t="shared" si="13"/>
        <v>2.1072342847447425</v>
      </c>
    </row>
    <row r="19" spans="1:76">
      <c r="A19" s="1">
        <v>17</v>
      </c>
      <c r="B19" s="10">
        <v>2166</v>
      </c>
      <c r="C19" s="10"/>
      <c r="D19" s="4">
        <f t="shared" si="14"/>
        <v>64.993188863832046</v>
      </c>
      <c r="E19" s="3">
        <f t="shared" si="15"/>
        <v>17</v>
      </c>
      <c r="F19" s="4">
        <f t="shared" si="1"/>
        <v>16.399234456411502</v>
      </c>
      <c r="G19" s="4">
        <f t="shared" si="2"/>
        <v>-4.0768967399178413</v>
      </c>
      <c r="H19" s="4">
        <f t="shared" si="3"/>
        <v>2161.9231032600824</v>
      </c>
      <c r="J19" s="3" t="s">
        <v>32</v>
      </c>
      <c r="AA19" s="5">
        <f t="shared" si="17"/>
        <v>5.8453039886040649E-2</v>
      </c>
      <c r="AB19" s="5">
        <f t="shared" si="17"/>
        <v>0.11187987885303903</v>
      </c>
      <c r="AC19" s="5">
        <f t="shared" si="17"/>
        <v>0.13868975184617569</v>
      </c>
      <c r="AD19" s="5">
        <f t="shared" si="17"/>
        <v>0.22419243865099336</v>
      </c>
      <c r="AE19" s="5">
        <f t="shared" si="17"/>
        <v>0.23721171520077491</v>
      </c>
      <c r="AF19" s="5">
        <f t="shared" si="17"/>
        <v>0.24610654545829624</v>
      </c>
      <c r="AG19" s="5">
        <f t="shared" si="17"/>
        <v>0.26139694987841328</v>
      </c>
      <c r="AH19" s="5">
        <f t="shared" si="17"/>
        <v>0.29148318662031664</v>
      </c>
      <c r="AI19" s="5">
        <f t="shared" si="17"/>
        <v>0.34843666142710611</v>
      </c>
      <c r="AJ19" s="5">
        <f t="shared" si="17"/>
        <v>0.39356095850760947</v>
      </c>
      <c r="AK19" s="5">
        <f t="shared" si="18"/>
        <v>0.40965355755637545</v>
      </c>
      <c r="AL19" s="5">
        <f t="shared" si="18"/>
        <v>0.42691416972505536</v>
      </c>
      <c r="AM19" s="5">
        <f t="shared" si="18"/>
        <v>0.44137383879928965</v>
      </c>
      <c r="AN19" s="5">
        <f t="shared" si="18"/>
        <v>0.46775935728124207</v>
      </c>
      <c r="AO19" s="5">
        <f t="shared" si="18"/>
        <v>0.48923893447464872</v>
      </c>
      <c r="AP19" s="5">
        <f t="shared" si="18"/>
        <v>0.49486115274783271</v>
      </c>
      <c r="AQ19" s="5">
        <f t="shared" si="18"/>
        <v>0.5</v>
      </c>
      <c r="AR19" s="5">
        <f t="shared" si="18"/>
        <v>0.51384696289113685</v>
      </c>
      <c r="AS19" s="5">
        <f t="shared" si="18"/>
        <v>0.57378133918688534</v>
      </c>
      <c r="AT19" s="5">
        <f t="shared" si="18"/>
        <v>0.57397898665506109</v>
      </c>
      <c r="AU19" s="5">
        <f t="shared" si="19"/>
        <v>0.57794254580482862</v>
      </c>
      <c r="AV19" s="5">
        <f t="shared" si="19"/>
        <v>0.57873768301626405</v>
      </c>
      <c r="AW19" s="5">
        <f t="shared" si="19"/>
        <v>0.58733648007343076</v>
      </c>
      <c r="AX19" s="5">
        <f t="shared" si="19"/>
        <v>0.59602874515240345</v>
      </c>
      <c r="AY19" s="5">
        <f t="shared" si="19"/>
        <v>0.6041984871959446</v>
      </c>
      <c r="AZ19" s="5">
        <f t="shared" si="19"/>
        <v>0.62182758870366484</v>
      </c>
      <c r="BA19" s="5">
        <f t="shared" si="19"/>
        <v>0.63725881848836463</v>
      </c>
      <c r="BB19" s="5">
        <f t="shared" si="19"/>
        <v>0.69461576950730475</v>
      </c>
      <c r="BC19" s="5" t="str">
        <f t="shared" si="19"/>
        <v/>
      </c>
      <c r="BD19" s="5" t="str">
        <f t="shared" si="19"/>
        <v/>
      </c>
      <c r="BE19" s="5" t="str">
        <f t="shared" si="20"/>
        <v/>
      </c>
      <c r="BF19" s="5" t="str">
        <f t="shared" si="20"/>
        <v/>
      </c>
      <c r="BG19" s="5" t="str">
        <f t="shared" si="20"/>
        <v/>
      </c>
      <c r="BH19" s="5" t="str">
        <f t="shared" si="20"/>
        <v/>
      </c>
      <c r="BI19" s="5" t="str">
        <f t="shared" si="20"/>
        <v/>
      </c>
      <c r="BJ19" s="5" t="str">
        <f t="shared" si="20"/>
        <v/>
      </c>
      <c r="BK19" s="5" t="str">
        <f t="shared" si="20"/>
        <v/>
      </c>
      <c r="BL19" s="5" t="str">
        <f t="shared" si="20"/>
        <v/>
      </c>
      <c r="BM19" s="5" t="str">
        <f t="shared" si="20"/>
        <v/>
      </c>
      <c r="BN19" s="5" t="str">
        <f t="shared" si="20"/>
        <v/>
      </c>
      <c r="BO19" s="5" t="str">
        <f t="shared" si="20"/>
        <v/>
      </c>
      <c r="BP19" s="5" t="str">
        <f t="shared" si="20"/>
        <v/>
      </c>
      <c r="BQ19" s="5" t="str">
        <f t="shared" si="20"/>
        <v/>
      </c>
      <c r="BR19" s="9">
        <f t="shared" si="8"/>
        <v>0.39127368755728997</v>
      </c>
      <c r="BS19" s="5">
        <f t="shared" si="9"/>
        <v>11.600765543588498</v>
      </c>
      <c r="BT19" s="5">
        <f t="shared" si="16"/>
        <v>-0.03</v>
      </c>
      <c r="BU19" s="5">
        <f t="shared" si="10"/>
        <v>-4.0768967399178413</v>
      </c>
      <c r="BV19" s="5" t="str">
        <f t="shared" si="11"/>
        <v/>
      </c>
      <c r="BW19" s="5" t="str">
        <f t="shared" si="12"/>
        <v/>
      </c>
      <c r="BX19" s="1">
        <f t="shared" si="13"/>
        <v>-4.0768967399178413</v>
      </c>
    </row>
    <row r="20" spans="1:76">
      <c r="A20" s="1">
        <v>18</v>
      </c>
      <c r="B20" s="10">
        <v>2089</v>
      </c>
      <c r="C20" s="10"/>
      <c r="D20" s="4">
        <f t="shared" si="14"/>
        <v>59.084717148938225</v>
      </c>
      <c r="E20" s="3">
        <f t="shared" si="15"/>
        <v>18</v>
      </c>
      <c r="F20" s="4">
        <f t="shared" si="1"/>
        <v>16.733073237960177</v>
      </c>
      <c r="G20" s="4">
        <f t="shared" si="2"/>
        <v>-8.7637625859987356</v>
      </c>
      <c r="H20" s="4">
        <f t="shared" si="3"/>
        <v>2080.2362374140012</v>
      </c>
      <c r="J20" s="3" t="s">
        <v>35</v>
      </c>
      <c r="AA20" s="5">
        <f t="shared" si="17"/>
        <v>5.5477470008319353E-2</v>
      </c>
      <c r="AB20" s="5">
        <f t="shared" si="17"/>
        <v>0.10649220792515862</v>
      </c>
      <c r="AC20" s="5">
        <f t="shared" si="17"/>
        <v>0.13220321125979767</v>
      </c>
      <c r="AD20" s="5">
        <f t="shared" si="17"/>
        <v>0.21470377171464747</v>
      </c>
      <c r="AE20" s="5">
        <f t="shared" si="17"/>
        <v>0.22733348931340258</v>
      </c>
      <c r="AF20" s="5">
        <f t="shared" si="17"/>
        <v>0.23597249912627169</v>
      </c>
      <c r="AG20" s="5">
        <f t="shared" si="17"/>
        <v>0.25084277667561028</v>
      </c>
      <c r="AH20" s="5">
        <f t="shared" si="17"/>
        <v>0.2801750476791165</v>
      </c>
      <c r="AI20" s="5">
        <f t="shared" si="17"/>
        <v>0.3359667198180839</v>
      </c>
      <c r="AJ20" s="5">
        <f t="shared" si="17"/>
        <v>0.38041897714581113</v>
      </c>
      <c r="AK20" s="5">
        <f t="shared" si="18"/>
        <v>0.39632539228692987</v>
      </c>
      <c r="AL20" s="5">
        <f t="shared" si="18"/>
        <v>0.41341769780450094</v>
      </c>
      <c r="AM20" s="5">
        <f t="shared" si="18"/>
        <v>0.42776144728331067</v>
      </c>
      <c r="AN20" s="5">
        <f t="shared" si="18"/>
        <v>0.45399454816259871</v>
      </c>
      <c r="AO20" s="5">
        <f t="shared" si="18"/>
        <v>0.47540663002638178</v>
      </c>
      <c r="AP20" s="5">
        <f t="shared" si="18"/>
        <v>0.48101959224462842</v>
      </c>
      <c r="AQ20" s="5">
        <f t="shared" si="18"/>
        <v>0.48615303710886315</v>
      </c>
      <c r="AR20" s="5">
        <f t="shared" si="18"/>
        <v>0.5</v>
      </c>
      <c r="AS20" s="5">
        <f t="shared" si="18"/>
        <v>0.56018030853456502</v>
      </c>
      <c r="AT20" s="5">
        <f t="shared" si="18"/>
        <v>0.56037943072330676</v>
      </c>
      <c r="AU20" s="5">
        <f t="shared" si="19"/>
        <v>0.56437348777671337</v>
      </c>
      <c r="AV20" s="5">
        <f t="shared" si="19"/>
        <v>0.56517495534629347</v>
      </c>
      <c r="AW20" s="5">
        <f t="shared" si="19"/>
        <v>0.57384674193438467</v>
      </c>
      <c r="AX20" s="5">
        <f t="shared" si="19"/>
        <v>0.58262123019888667</v>
      </c>
      <c r="AY20" s="5">
        <f t="shared" si="19"/>
        <v>0.59087599971935312</v>
      </c>
      <c r="AZ20" s="5">
        <f t="shared" si="19"/>
        <v>0.60871420408342813</v>
      </c>
      <c r="BA20" s="5">
        <f t="shared" si="19"/>
        <v>0.62435727820643461</v>
      </c>
      <c r="BB20" s="5">
        <f t="shared" si="19"/>
        <v>0.68273860993302549</v>
      </c>
      <c r="BC20" s="5" t="str">
        <f t="shared" si="19"/>
        <v/>
      </c>
      <c r="BD20" s="5" t="str">
        <f t="shared" si="19"/>
        <v/>
      </c>
      <c r="BE20" s="5" t="str">
        <f t="shared" si="20"/>
        <v/>
      </c>
      <c r="BF20" s="5" t="str">
        <f t="shared" si="20"/>
        <v/>
      </c>
      <c r="BG20" s="5" t="str">
        <f t="shared" si="20"/>
        <v/>
      </c>
      <c r="BH20" s="5" t="str">
        <f t="shared" si="20"/>
        <v/>
      </c>
      <c r="BI20" s="5" t="str">
        <f t="shared" si="20"/>
        <v/>
      </c>
      <c r="BJ20" s="5" t="str">
        <f t="shared" si="20"/>
        <v/>
      </c>
      <c r="BK20" s="5" t="str">
        <f t="shared" si="20"/>
        <v/>
      </c>
      <c r="BL20" s="5" t="str">
        <f t="shared" si="20"/>
        <v/>
      </c>
      <c r="BM20" s="5" t="str">
        <f t="shared" si="20"/>
        <v/>
      </c>
      <c r="BN20" s="5" t="str">
        <f t="shared" si="20"/>
        <v/>
      </c>
      <c r="BO20" s="5" t="str">
        <f t="shared" si="20"/>
        <v/>
      </c>
      <c r="BP20" s="5" t="str">
        <f t="shared" si="20"/>
        <v/>
      </c>
      <c r="BQ20" s="5" t="str">
        <f t="shared" si="20"/>
        <v/>
      </c>
      <c r="BR20" s="9">
        <f t="shared" si="8"/>
        <v>0.40454581418718827</v>
      </c>
      <c r="BS20" s="5">
        <f t="shared" si="9"/>
        <v>11.266926762039823</v>
      </c>
      <c r="BT20" s="5">
        <f t="shared" si="16"/>
        <v>-0.04</v>
      </c>
      <c r="BU20" s="5">
        <f t="shared" si="10"/>
        <v>-8.7637625859987356</v>
      </c>
      <c r="BV20" s="5" t="str">
        <f t="shared" si="11"/>
        <v/>
      </c>
      <c r="BW20" s="5" t="str">
        <f t="shared" si="12"/>
        <v/>
      </c>
      <c r="BX20" s="1">
        <f t="shared" si="13"/>
        <v>-8.7637625859987356</v>
      </c>
    </row>
    <row r="21" spans="1:76">
      <c r="A21" s="1">
        <v>19</v>
      </c>
      <c r="B21" s="10">
        <v>1773</v>
      </c>
      <c r="C21" s="10"/>
      <c r="D21" s="4">
        <f t="shared" si="14"/>
        <v>53.176245434044404</v>
      </c>
      <c r="E21" s="3">
        <f t="shared" si="15"/>
        <v>19</v>
      </c>
      <c r="F21" s="4">
        <f t="shared" si="1"/>
        <v>18.166090277857471</v>
      </c>
      <c r="G21" s="4">
        <f t="shared" si="2"/>
        <v>-5.5993551581609342</v>
      </c>
      <c r="H21" s="4">
        <f t="shared" si="3"/>
        <v>1767.400644841839</v>
      </c>
      <c r="J21" s="3" t="s">
        <v>34</v>
      </c>
      <c r="AA21" s="5">
        <f t="shared" si="17"/>
        <v>4.4083019382662805E-2</v>
      </c>
      <c r="AB21" s="5">
        <f t="shared" si="17"/>
        <v>8.5569144546426223E-2</v>
      </c>
      <c r="AC21" s="5">
        <f t="shared" si="17"/>
        <v>0.10683256969838124</v>
      </c>
      <c r="AD21" s="5">
        <f t="shared" si="17"/>
        <v>0.17672497674773383</v>
      </c>
      <c r="AE21" s="5">
        <f t="shared" si="17"/>
        <v>0.18765448437216947</v>
      </c>
      <c r="AF21" s="5">
        <f t="shared" si="17"/>
        <v>0.19516650115951906</v>
      </c>
      <c r="AG21" s="5">
        <f t="shared" si="17"/>
        <v>0.20816592707442907</v>
      </c>
      <c r="AH21" s="5">
        <f t="shared" si="17"/>
        <v>0.23406699214764498</v>
      </c>
      <c r="AI21" s="5">
        <f t="shared" si="17"/>
        <v>0.28430346788870337</v>
      </c>
      <c r="AJ21" s="5">
        <f t="shared" si="17"/>
        <v>0.3252684374488537</v>
      </c>
      <c r="AK21" s="5">
        <f t="shared" si="18"/>
        <v>0.3401347885992882</v>
      </c>
      <c r="AL21" s="5">
        <f t="shared" si="18"/>
        <v>0.35623379311148651</v>
      </c>
      <c r="AM21" s="5">
        <f t="shared" si="18"/>
        <v>0.36984445946126887</v>
      </c>
      <c r="AN21" s="5">
        <f t="shared" si="18"/>
        <v>0.39497731224340343</v>
      </c>
      <c r="AO21" s="5">
        <f t="shared" si="18"/>
        <v>0.41572524040406189</v>
      </c>
      <c r="AP21" s="5">
        <f t="shared" si="18"/>
        <v>0.42119932299302992</v>
      </c>
      <c r="AQ21" s="5">
        <f t="shared" si="18"/>
        <v>0.42621866081311466</v>
      </c>
      <c r="AR21" s="5">
        <f t="shared" si="18"/>
        <v>0.43981969146543493</v>
      </c>
      <c r="AS21" s="5">
        <f t="shared" si="18"/>
        <v>0.5</v>
      </c>
      <c r="AT21" s="5">
        <f t="shared" si="18"/>
        <v>0.50020205903827819</v>
      </c>
      <c r="AU21" s="5">
        <f t="shared" si="19"/>
        <v>0.50425917977052226</v>
      </c>
      <c r="AV21" s="5">
        <f t="shared" si="19"/>
        <v>0.50507425680484863</v>
      </c>
      <c r="AW21" s="5">
        <f t="shared" si="19"/>
        <v>0.51391377126043136</v>
      </c>
      <c r="AX21" s="5">
        <f t="shared" si="19"/>
        <v>0.52289629892994549</v>
      </c>
      <c r="AY21" s="5">
        <f t="shared" si="19"/>
        <v>0.53138220140673564</v>
      </c>
      <c r="AZ21" s="5">
        <f t="shared" si="19"/>
        <v>0.54983815085506382</v>
      </c>
      <c r="BA21" s="5">
        <f t="shared" si="19"/>
        <v>0.56615742101269284</v>
      </c>
      <c r="BB21" s="5">
        <f t="shared" si="19"/>
        <v>0.62819759350639848</v>
      </c>
      <c r="BC21" s="5" t="str">
        <f t="shared" si="19"/>
        <v/>
      </c>
      <c r="BD21" s="5" t="str">
        <f t="shared" si="19"/>
        <v/>
      </c>
      <c r="BE21" s="5" t="str">
        <f t="shared" si="20"/>
        <v/>
      </c>
      <c r="BF21" s="5" t="str">
        <f t="shared" si="20"/>
        <v/>
      </c>
      <c r="BG21" s="5" t="str">
        <f t="shared" si="20"/>
        <v/>
      </c>
      <c r="BH21" s="5" t="str">
        <f t="shared" si="20"/>
        <v/>
      </c>
      <c r="BI21" s="5" t="str">
        <f t="shared" si="20"/>
        <v/>
      </c>
      <c r="BJ21" s="5" t="str">
        <f t="shared" si="20"/>
        <v/>
      </c>
      <c r="BK21" s="5" t="str">
        <f t="shared" si="20"/>
        <v/>
      </c>
      <c r="BL21" s="5" t="str">
        <f t="shared" si="20"/>
        <v/>
      </c>
      <c r="BM21" s="5" t="str">
        <f t="shared" si="20"/>
        <v/>
      </c>
      <c r="BN21" s="5" t="str">
        <f t="shared" si="20"/>
        <v/>
      </c>
      <c r="BO21" s="5" t="str">
        <f t="shared" si="20"/>
        <v/>
      </c>
      <c r="BP21" s="5" t="str">
        <f t="shared" si="20"/>
        <v/>
      </c>
      <c r="BQ21" s="5" t="str">
        <f t="shared" si="20"/>
        <v/>
      </c>
      <c r="BR21" s="9">
        <f t="shared" si="8"/>
        <v>0.46389654292173754</v>
      </c>
      <c r="BS21" s="5">
        <f t="shared" si="9"/>
        <v>9.8339097221425309</v>
      </c>
      <c r="BT21" s="5">
        <f t="shared" si="16"/>
        <v>-0.05</v>
      </c>
      <c r="BU21" s="5">
        <f t="shared" si="10"/>
        <v>-5.5993551581609342</v>
      </c>
      <c r="BV21" s="5" t="str">
        <f t="shared" si="11"/>
        <v/>
      </c>
      <c r="BW21" s="5" t="str">
        <f t="shared" si="12"/>
        <v/>
      </c>
      <c r="BX21" s="1">
        <f t="shared" si="13"/>
        <v>-5.5993551581609342</v>
      </c>
    </row>
    <row r="22" spans="1:76">
      <c r="A22" s="1">
        <v>20</v>
      </c>
      <c r="B22" s="10">
        <v>1772</v>
      </c>
      <c r="C22" s="10"/>
      <c r="D22" s="4">
        <f t="shared" si="14"/>
        <v>47.267773719150583</v>
      </c>
      <c r="E22" s="3">
        <f t="shared" si="15"/>
        <v>20</v>
      </c>
      <c r="F22" s="4">
        <f t="shared" si="1"/>
        <v>18.170790842420981</v>
      </c>
      <c r="G22" s="4">
        <f t="shared" si="2"/>
        <v>-12.637208268421562</v>
      </c>
      <c r="H22" s="4">
        <f t="shared" si="3"/>
        <v>1759.3627917315785</v>
      </c>
      <c r="AA22" s="5">
        <f t="shared" si="17"/>
        <v>4.4048973093826625E-2</v>
      </c>
      <c r="AB22" s="5">
        <f t="shared" si="17"/>
        <v>8.5505923615127932E-2</v>
      </c>
      <c r="AC22" s="5">
        <f t="shared" si="17"/>
        <v>0.10675547281166756</v>
      </c>
      <c r="AD22" s="5">
        <f t="shared" si="17"/>
        <v>0.17660741455245149</v>
      </c>
      <c r="AE22" s="5">
        <f t="shared" si="17"/>
        <v>0.18753130772341256</v>
      </c>
      <c r="AF22" s="5">
        <f t="shared" si="17"/>
        <v>0.19503957749384368</v>
      </c>
      <c r="AG22" s="5">
        <f t="shared" si="17"/>
        <v>0.20803273460275931</v>
      </c>
      <c r="AH22" s="5">
        <f t="shared" si="17"/>
        <v>0.2339221230025425</v>
      </c>
      <c r="AI22" s="5">
        <f t="shared" si="17"/>
        <v>0.28413904069777729</v>
      </c>
      <c r="AJ22" s="5">
        <f t="shared" si="17"/>
        <v>0.32509107981192686</v>
      </c>
      <c r="AK22" s="5">
        <f t="shared" si="18"/>
        <v>0.33995340899593635</v>
      </c>
      <c r="AL22" s="5">
        <f t="shared" si="18"/>
        <v>0.356048460816829</v>
      </c>
      <c r="AM22" s="5">
        <f t="shared" si="18"/>
        <v>0.36965611213250177</v>
      </c>
      <c r="AN22" s="5">
        <f t="shared" si="18"/>
        <v>0.39478418425322181</v>
      </c>
      <c r="AO22" s="5">
        <f t="shared" si="18"/>
        <v>0.41552893502009014</v>
      </c>
      <c r="AP22" s="5">
        <f t="shared" si="18"/>
        <v>0.42100229528349387</v>
      </c>
      <c r="AQ22" s="5">
        <f t="shared" si="18"/>
        <v>0.42602101334493891</v>
      </c>
      <c r="AR22" s="5">
        <f t="shared" si="18"/>
        <v>0.43962056927669335</v>
      </c>
      <c r="AS22" s="5">
        <f t="shared" si="18"/>
        <v>0.49979794096172175</v>
      </c>
      <c r="AT22" s="5">
        <f t="shared" si="18"/>
        <v>0.5</v>
      </c>
      <c r="AU22" s="5">
        <f t="shared" si="19"/>
        <v>0.50405713469861824</v>
      </c>
      <c r="AV22" s="5">
        <f t="shared" si="19"/>
        <v>0.50487221774849911</v>
      </c>
      <c r="AW22" s="5">
        <f t="shared" si="19"/>
        <v>0.51371186642049582</v>
      </c>
      <c r="AX22" s="5">
        <f t="shared" si="19"/>
        <v>0.52269465987034103</v>
      </c>
      <c r="AY22" s="5">
        <f t="shared" si="19"/>
        <v>0.53118093324881177</v>
      </c>
      <c r="AZ22" s="5">
        <f t="shared" si="19"/>
        <v>0.54963809128850871</v>
      </c>
      <c r="BA22" s="5">
        <f t="shared" si="19"/>
        <v>0.56595888885025203</v>
      </c>
      <c r="BB22" s="5">
        <f t="shared" si="19"/>
        <v>0.6280087979627279</v>
      </c>
      <c r="BC22" s="5" t="str">
        <f t="shared" si="19"/>
        <v/>
      </c>
      <c r="BD22" s="5" t="str">
        <f t="shared" si="19"/>
        <v/>
      </c>
      <c r="BE22" s="5" t="str">
        <f t="shared" si="20"/>
        <v/>
      </c>
      <c r="BF22" s="5" t="str">
        <f t="shared" si="20"/>
        <v/>
      </c>
      <c r="BG22" s="5" t="str">
        <f t="shared" si="20"/>
        <v/>
      </c>
      <c r="BH22" s="5" t="str">
        <f t="shared" si="20"/>
        <v/>
      </c>
      <c r="BI22" s="5" t="str">
        <f t="shared" si="20"/>
        <v/>
      </c>
      <c r="BJ22" s="5" t="str">
        <f t="shared" si="20"/>
        <v/>
      </c>
      <c r="BK22" s="5" t="str">
        <f t="shared" si="20"/>
        <v/>
      </c>
      <c r="BL22" s="5" t="str">
        <f t="shared" si="20"/>
        <v/>
      </c>
      <c r="BM22" s="5" t="str">
        <f t="shared" si="20"/>
        <v/>
      </c>
      <c r="BN22" s="5" t="str">
        <f t="shared" si="20"/>
        <v/>
      </c>
      <c r="BO22" s="5" t="str">
        <f t="shared" si="20"/>
        <v/>
      </c>
      <c r="BP22" s="5" t="str">
        <f t="shared" si="20"/>
        <v/>
      </c>
      <c r="BQ22" s="5" t="str">
        <f t="shared" si="20"/>
        <v/>
      </c>
      <c r="BR22" s="9">
        <f t="shared" si="8"/>
        <v>0.46409755432236904</v>
      </c>
      <c r="BS22" s="5">
        <f t="shared" si="9"/>
        <v>9.8292091575790188</v>
      </c>
      <c r="BT22" s="5">
        <f t="shared" si="16"/>
        <v>-0.06</v>
      </c>
      <c r="BU22" s="5">
        <f t="shared" si="10"/>
        <v>-12.637208268421562</v>
      </c>
      <c r="BV22" s="5" t="str">
        <f t="shared" si="11"/>
        <v/>
      </c>
      <c r="BW22" s="5" t="str">
        <f t="shared" si="12"/>
        <v/>
      </c>
      <c r="BX22" s="1">
        <f t="shared" si="13"/>
        <v>-12.637208268421562</v>
      </c>
    </row>
    <row r="23" spans="1:76">
      <c r="A23" s="1">
        <v>21</v>
      </c>
      <c r="B23" s="10">
        <v>1752</v>
      </c>
      <c r="C23" s="10"/>
      <c r="D23" s="4">
        <f t="shared" si="14"/>
        <v>41.359302004256762</v>
      </c>
      <c r="E23" s="3">
        <f t="shared" si="15"/>
        <v>21</v>
      </c>
      <c r="F23" s="4">
        <f t="shared" si="1"/>
        <v>18.265027547706573</v>
      </c>
      <c r="G23" s="4">
        <f t="shared" si="2"/>
        <v>-19.035517516381621</v>
      </c>
      <c r="H23" s="4">
        <f t="shared" si="3"/>
        <v>1732.9644824836184</v>
      </c>
      <c r="J23" s="3" t="s">
        <v>24</v>
      </c>
      <c r="AA23" s="5">
        <f t="shared" ref="AA23:AJ32" si="21">IF(OR($B23="",AA$2=""),"",(1-EXP(-$B23/$BR$1))*EXP(-AA$2/$BR$1)/((1-EXP(-AA$2/$BR$1))*EXP(-$B23/$BR$1)+(1-EXP(-$B23/$BR$1))*EXP(-AA$2/$BR$1)))</f>
        <v>4.3370630395977584E-2</v>
      </c>
      <c r="AB23" s="5">
        <f t="shared" si="21"/>
        <v>8.4245417493704525E-2</v>
      </c>
      <c r="AC23" s="5">
        <f t="shared" si="21"/>
        <v>0.1052177531651201</v>
      </c>
      <c r="AD23" s="5">
        <f t="shared" si="21"/>
        <v>0.17425982589114103</v>
      </c>
      <c r="AE23" s="5">
        <f t="shared" si="21"/>
        <v>0.18507114897753238</v>
      </c>
      <c r="AF23" s="5">
        <f t="shared" si="21"/>
        <v>0.19250425830021517</v>
      </c>
      <c r="AG23" s="5">
        <f t="shared" si="21"/>
        <v>0.20537160876421517</v>
      </c>
      <c r="AH23" s="5">
        <f t="shared" si="21"/>
        <v>0.23102643100850787</v>
      </c>
      <c r="AI23" s="5">
        <f t="shared" si="21"/>
        <v>0.28084961346098219</v>
      </c>
      <c r="AJ23" s="5">
        <f t="shared" si="21"/>
        <v>0.32154050527954042</v>
      </c>
      <c r="AK23" s="5">
        <f t="shared" ref="AK23:AT32" si="22">IF(OR($B23="",AK$2=""),"",(1-EXP(-$B23/$BR$1))*EXP(-AK$2/$BR$1)/((1-EXP(-AK$2/$BR$1))*EXP(-$B23/$BR$1)+(1-EXP(-$B23/$BR$1))*EXP(-AK$2/$BR$1)))</f>
        <v>0.33632140037596026</v>
      </c>
      <c r="AL23" s="5">
        <f t="shared" si="22"/>
        <v>0.35233628673543449</v>
      </c>
      <c r="AM23" s="5">
        <f t="shared" si="22"/>
        <v>0.36588267458393958</v>
      </c>
      <c r="AN23" s="5">
        <f t="shared" si="22"/>
        <v>0.39091331495452014</v>
      </c>
      <c r="AO23" s="5">
        <f t="shared" si="22"/>
        <v>0.41159299235666869</v>
      </c>
      <c r="AP23" s="5">
        <f t="shared" si="22"/>
        <v>0.41705150199562574</v>
      </c>
      <c r="AQ23" s="5">
        <f t="shared" si="22"/>
        <v>0.42205745419517127</v>
      </c>
      <c r="AR23" s="5">
        <f t="shared" si="22"/>
        <v>0.43562651222328658</v>
      </c>
      <c r="AS23" s="5">
        <f t="shared" si="22"/>
        <v>0.49574082022947763</v>
      </c>
      <c r="AT23" s="5">
        <f t="shared" si="22"/>
        <v>0.49594286530138182</v>
      </c>
      <c r="AU23" s="5">
        <f t="shared" ref="AU23:BD32" si="23">IF(OR($B23="",AU$2=""),"",(1-EXP(-$B23/$BR$1))*EXP(-AU$2/$BR$1)/((1-EXP(-AU$2/$BR$1))*EXP(-$B23/$BR$1)+(1-EXP(-$B23/$BR$1))*EXP(-AU$2/$BR$1)))</f>
        <v>0.5</v>
      </c>
      <c r="AV23" s="5">
        <f t="shared" si="23"/>
        <v>0.50081514750275824</v>
      </c>
      <c r="AW23" s="5">
        <f t="shared" si="23"/>
        <v>0.50965688060529113</v>
      </c>
      <c r="AX23" s="5">
        <f t="shared" si="23"/>
        <v>0.51864439192304723</v>
      </c>
      <c r="AY23" s="5">
        <f t="shared" si="23"/>
        <v>0.52713753071021074</v>
      </c>
      <c r="AZ23" s="5">
        <f t="shared" si="23"/>
        <v>0.54561770409976473</v>
      </c>
      <c r="BA23" s="5">
        <f t="shared" si="23"/>
        <v>0.56196808580612367</v>
      </c>
      <c r="BB23" s="5">
        <f t="shared" si="23"/>
        <v>0.62420969595782783</v>
      </c>
      <c r="BC23" s="5" t="str">
        <f t="shared" si="23"/>
        <v/>
      </c>
      <c r="BD23" s="5" t="str">
        <f t="shared" si="23"/>
        <v/>
      </c>
      <c r="BE23" s="5" t="str">
        <f t="shared" ref="BE23:BQ32" si="24">IF(OR($B23="",BE$2=""),"",(1-EXP(-$B23/$BR$1))*EXP(-BE$2/$BR$1)/((1-EXP(-BE$2/$BR$1))*EXP(-$B23/$BR$1)+(1-EXP(-$B23/$BR$1))*EXP(-BE$2/$BR$1)))</f>
        <v/>
      </c>
      <c r="BF23" s="5" t="str">
        <f t="shared" si="24"/>
        <v/>
      </c>
      <c r="BG23" s="5" t="str">
        <f t="shared" si="24"/>
        <v/>
      </c>
      <c r="BH23" s="5" t="str">
        <f t="shared" si="24"/>
        <v/>
      </c>
      <c r="BI23" s="5" t="str">
        <f t="shared" si="24"/>
        <v/>
      </c>
      <c r="BJ23" s="5" t="str">
        <f t="shared" si="24"/>
        <v/>
      </c>
      <c r="BK23" s="5" t="str">
        <f t="shared" si="24"/>
        <v/>
      </c>
      <c r="BL23" s="5" t="str">
        <f t="shared" si="24"/>
        <v/>
      </c>
      <c r="BM23" s="5" t="str">
        <f t="shared" si="24"/>
        <v/>
      </c>
      <c r="BN23" s="5" t="str">
        <f t="shared" si="24"/>
        <v/>
      </c>
      <c r="BO23" s="5" t="str">
        <f t="shared" si="24"/>
        <v/>
      </c>
      <c r="BP23" s="5" t="str">
        <f t="shared" si="24"/>
        <v/>
      </c>
      <c r="BQ23" s="5" t="str">
        <f t="shared" si="24"/>
        <v/>
      </c>
      <c r="BR23" s="9">
        <f t="shared" si="8"/>
        <v>0.46813612371724617</v>
      </c>
      <c r="BS23" s="5">
        <f t="shared" si="9"/>
        <v>9.7349724522934267</v>
      </c>
      <c r="BT23" s="5">
        <f t="shared" si="16"/>
        <v>-7.0000000000000007E-2</v>
      </c>
      <c r="BU23" s="5">
        <f t="shared" si="10"/>
        <v>-19.035517516381621</v>
      </c>
      <c r="BV23" s="5" t="str">
        <f t="shared" si="11"/>
        <v/>
      </c>
      <c r="BW23" s="5" t="str">
        <f t="shared" si="12"/>
        <v/>
      </c>
      <c r="BX23" s="1">
        <f t="shared" si="13"/>
        <v>-19.035517516381621</v>
      </c>
    </row>
    <row r="24" spans="1:76">
      <c r="A24" s="1">
        <v>22</v>
      </c>
      <c r="B24" s="10">
        <v>1748</v>
      </c>
      <c r="C24" s="10"/>
      <c r="D24" s="4">
        <f t="shared" si="14"/>
        <v>35.450830289362933</v>
      </c>
      <c r="E24" s="3">
        <f t="shared" si="15"/>
        <v>22</v>
      </c>
      <c r="F24" s="4">
        <f t="shared" si="1"/>
        <v>18.283926515615111</v>
      </c>
      <c r="G24" s="4">
        <f t="shared" si="2"/>
        <v>-25.971953459892067</v>
      </c>
      <c r="H24" s="4">
        <f t="shared" si="3"/>
        <v>1722.0280465401079</v>
      </c>
      <c r="J24" s="3" t="s">
        <v>25</v>
      </c>
      <c r="AA24" s="5">
        <f t="shared" si="21"/>
        <v>4.3235550876659305E-2</v>
      </c>
      <c r="AB24" s="5">
        <f t="shared" si="21"/>
        <v>8.3994209619740759E-2</v>
      </c>
      <c r="AC24" s="5">
        <f t="shared" si="21"/>
        <v>0.10491117310735795</v>
      </c>
      <c r="AD24" s="5">
        <f t="shared" si="21"/>
        <v>0.17379114649424116</v>
      </c>
      <c r="AE24" s="5">
        <f t="shared" si="21"/>
        <v>0.18457989183220677</v>
      </c>
      <c r="AF24" s="5">
        <f t="shared" si="21"/>
        <v>0.19199791908731351</v>
      </c>
      <c r="AG24" s="5">
        <f t="shared" si="21"/>
        <v>0.20484001036236643</v>
      </c>
      <c r="AH24" s="5">
        <f t="shared" si="21"/>
        <v>0.23044768426475601</v>
      </c>
      <c r="AI24" s="5">
        <f t="shared" si="21"/>
        <v>0.28019153220053666</v>
      </c>
      <c r="AJ24" s="5">
        <f t="shared" si="21"/>
        <v>0.32082961402253668</v>
      </c>
      <c r="AK24" s="5">
        <f t="shared" si="22"/>
        <v>0.33559399451812377</v>
      </c>
      <c r="AL24" s="5">
        <f t="shared" si="22"/>
        <v>0.35159259306984092</v>
      </c>
      <c r="AM24" s="5">
        <f t="shared" si="22"/>
        <v>0.36512650747681819</v>
      </c>
      <c r="AN24" s="5">
        <f t="shared" si="22"/>
        <v>0.39013724420090551</v>
      </c>
      <c r="AO24" s="5">
        <f t="shared" si="22"/>
        <v>0.4108035565320457</v>
      </c>
      <c r="AP24" s="5">
        <f t="shared" si="22"/>
        <v>0.41625900317029763</v>
      </c>
      <c r="AQ24" s="5">
        <f t="shared" si="22"/>
        <v>0.42126231698373601</v>
      </c>
      <c r="AR24" s="5">
        <f t="shared" si="22"/>
        <v>0.43482504465370658</v>
      </c>
      <c r="AS24" s="5">
        <f t="shared" si="22"/>
        <v>0.49492574319515137</v>
      </c>
      <c r="AT24" s="5">
        <f t="shared" si="22"/>
        <v>0.49512778225150089</v>
      </c>
      <c r="AU24" s="5">
        <f t="shared" si="23"/>
        <v>0.49918485249724176</v>
      </c>
      <c r="AV24" s="5">
        <f t="shared" si="23"/>
        <v>0.5</v>
      </c>
      <c r="AW24" s="5">
        <f t="shared" si="23"/>
        <v>0.50884201151208508</v>
      </c>
      <c r="AX24" s="5">
        <f t="shared" si="23"/>
        <v>0.51783032835658338</v>
      </c>
      <c r="AY24" s="5">
        <f t="shared" si="23"/>
        <v>0.52632471253283419</v>
      </c>
      <c r="AZ24" s="5">
        <f t="shared" si="23"/>
        <v>0.54480922154886358</v>
      </c>
      <c r="BA24" s="5">
        <f t="shared" si="23"/>
        <v>0.56116529690583861</v>
      </c>
      <c r="BB24" s="5">
        <f t="shared" si="23"/>
        <v>0.62344454311160036</v>
      </c>
      <c r="BC24" s="5" t="str">
        <f t="shared" si="23"/>
        <v/>
      </c>
      <c r="BD24" s="5" t="str">
        <f t="shared" si="23"/>
        <v/>
      </c>
      <c r="BE24" s="5" t="str">
        <f t="shared" si="24"/>
        <v/>
      </c>
      <c r="BF24" s="5" t="str">
        <f t="shared" si="24"/>
        <v/>
      </c>
      <c r="BG24" s="5" t="str">
        <f t="shared" si="24"/>
        <v/>
      </c>
      <c r="BH24" s="5" t="str">
        <f t="shared" si="24"/>
        <v/>
      </c>
      <c r="BI24" s="5" t="str">
        <f t="shared" si="24"/>
        <v/>
      </c>
      <c r="BJ24" s="5" t="str">
        <f t="shared" si="24"/>
        <v/>
      </c>
      <c r="BK24" s="5" t="str">
        <f t="shared" si="24"/>
        <v/>
      </c>
      <c r="BL24" s="5" t="str">
        <f t="shared" si="24"/>
        <v/>
      </c>
      <c r="BM24" s="5" t="str">
        <f t="shared" si="24"/>
        <v/>
      </c>
      <c r="BN24" s="5" t="str">
        <f t="shared" si="24"/>
        <v/>
      </c>
      <c r="BO24" s="5" t="str">
        <f t="shared" si="24"/>
        <v/>
      </c>
      <c r="BP24" s="5" t="str">
        <f t="shared" si="24"/>
        <v/>
      </c>
      <c r="BQ24" s="5" t="str">
        <f t="shared" si="24"/>
        <v/>
      </c>
      <c r="BR24" s="9">
        <f t="shared" si="8"/>
        <v>0.46894804507600729</v>
      </c>
      <c r="BS24" s="5">
        <f t="shared" si="9"/>
        <v>9.7160734843848893</v>
      </c>
      <c r="BT24" s="5">
        <f t="shared" si="16"/>
        <v>-0.08</v>
      </c>
      <c r="BU24" s="5">
        <f t="shared" si="10"/>
        <v>-25.971953459892067</v>
      </c>
      <c r="BV24" s="5" t="str">
        <f t="shared" si="11"/>
        <v/>
      </c>
      <c r="BW24" s="5" t="str">
        <f t="shared" si="12"/>
        <v/>
      </c>
      <c r="BX24" s="1">
        <f t="shared" si="13"/>
        <v>-25.971953459892067</v>
      </c>
    </row>
    <row r="25" spans="1:76">
      <c r="A25" s="1">
        <v>23</v>
      </c>
      <c r="B25" s="10">
        <v>1705</v>
      </c>
      <c r="C25" s="10"/>
      <c r="D25" s="4">
        <f t="shared" si="14"/>
        <v>29.542358574469112</v>
      </c>
      <c r="E25" s="3">
        <f t="shared" si="15"/>
        <v>23</v>
      </c>
      <c r="F25" s="4">
        <f t="shared" si="1"/>
        <v>18.488183169968053</v>
      </c>
      <c r="G25" s="4">
        <f t="shared" si="2"/>
        <v>-31.584405928799619</v>
      </c>
      <c r="H25" s="4">
        <f t="shared" si="3"/>
        <v>1673.4155940712003</v>
      </c>
      <c r="AA25" s="5">
        <f t="shared" si="21"/>
        <v>4.1795767375260293E-2</v>
      </c>
      <c r="AB25" s="5">
        <f t="shared" si="21"/>
        <v>8.1312478225327112E-2</v>
      </c>
      <c r="AC25" s="5">
        <f t="shared" si="21"/>
        <v>0.10163571285831242</v>
      </c>
      <c r="AD25" s="5">
        <f t="shared" si="21"/>
        <v>0.16877065046056258</v>
      </c>
      <c r="AE25" s="5">
        <f t="shared" si="21"/>
        <v>0.17931537162378747</v>
      </c>
      <c r="AF25" s="5">
        <f t="shared" si="21"/>
        <v>0.18657023335620473</v>
      </c>
      <c r="AG25" s="5">
        <f t="shared" si="21"/>
        <v>0.19913875917469448</v>
      </c>
      <c r="AH25" s="5">
        <f t="shared" si="21"/>
        <v>0.22423469199290988</v>
      </c>
      <c r="AI25" s="5">
        <f t="shared" si="21"/>
        <v>0.27311338173113453</v>
      </c>
      <c r="AJ25" s="5">
        <f t="shared" si="21"/>
        <v>0.31317151713078434</v>
      </c>
      <c r="AK25" s="5">
        <f t="shared" si="22"/>
        <v>0.32775354775430787</v>
      </c>
      <c r="AL25" s="5">
        <f t="shared" si="22"/>
        <v>0.34357165516872112</v>
      </c>
      <c r="AM25" s="5">
        <f t="shared" si="22"/>
        <v>0.35696679466211001</v>
      </c>
      <c r="AN25" s="5">
        <f t="shared" si="22"/>
        <v>0.38175469033039849</v>
      </c>
      <c r="AO25" s="5">
        <f t="shared" si="22"/>
        <v>0.40226985469245691</v>
      </c>
      <c r="AP25" s="5">
        <f t="shared" si="22"/>
        <v>0.40769039014662217</v>
      </c>
      <c r="AQ25" s="5">
        <f t="shared" si="22"/>
        <v>0.41266351992656924</v>
      </c>
      <c r="AR25" s="5">
        <f t="shared" si="22"/>
        <v>0.42615325806561538</v>
      </c>
      <c r="AS25" s="5">
        <f t="shared" si="22"/>
        <v>0.48608622873956869</v>
      </c>
      <c r="AT25" s="5">
        <f t="shared" si="22"/>
        <v>0.48628813357950418</v>
      </c>
      <c r="AU25" s="5">
        <f t="shared" si="23"/>
        <v>0.49034311939470876</v>
      </c>
      <c r="AV25" s="5">
        <f t="shared" si="23"/>
        <v>0.49115798848791486</v>
      </c>
      <c r="AW25" s="5">
        <f t="shared" si="23"/>
        <v>0.5</v>
      </c>
      <c r="AX25" s="5">
        <f t="shared" si="23"/>
        <v>0.50899398866847845</v>
      </c>
      <c r="AY25" s="5">
        <f t="shared" si="23"/>
        <v>0.51749899352245321</v>
      </c>
      <c r="AZ25" s="5">
        <f t="shared" si="23"/>
        <v>0.53602430187674843</v>
      </c>
      <c r="BA25" s="5">
        <f t="shared" si="23"/>
        <v>0.55243672159824453</v>
      </c>
      <c r="BB25" s="5">
        <f t="shared" si="23"/>
        <v>0.61510507948854798</v>
      </c>
      <c r="BC25" s="5" t="str">
        <f t="shared" si="23"/>
        <v/>
      </c>
      <c r="BD25" s="5" t="str">
        <f t="shared" si="23"/>
        <v/>
      </c>
      <c r="BE25" s="5" t="str">
        <f t="shared" si="24"/>
        <v/>
      </c>
      <c r="BF25" s="5" t="str">
        <f t="shared" si="24"/>
        <v/>
      </c>
      <c r="BG25" s="5" t="str">
        <f t="shared" si="24"/>
        <v/>
      </c>
      <c r="BH25" s="5" t="str">
        <f t="shared" si="24"/>
        <v/>
      </c>
      <c r="BI25" s="5" t="str">
        <f t="shared" si="24"/>
        <v/>
      </c>
      <c r="BJ25" s="5" t="str">
        <f t="shared" si="24"/>
        <v/>
      </c>
      <c r="BK25" s="5" t="str">
        <f t="shared" si="24"/>
        <v/>
      </c>
      <c r="BL25" s="5" t="str">
        <f t="shared" si="24"/>
        <v/>
      </c>
      <c r="BM25" s="5" t="str">
        <f t="shared" si="24"/>
        <v/>
      </c>
      <c r="BN25" s="5" t="str">
        <f t="shared" si="24"/>
        <v/>
      </c>
      <c r="BO25" s="5" t="str">
        <f t="shared" si="24"/>
        <v/>
      </c>
      <c r="BP25" s="5" t="str">
        <f t="shared" si="24"/>
        <v/>
      </c>
      <c r="BQ25" s="5" t="str">
        <f t="shared" si="24"/>
        <v/>
      </c>
      <c r="BR25" s="9">
        <f t="shared" si="8"/>
        <v>0.47776563776710373</v>
      </c>
      <c r="BS25" s="5">
        <f t="shared" si="9"/>
        <v>9.5118168300319468</v>
      </c>
      <c r="BT25" s="5">
        <f t="shared" si="16"/>
        <v>-0.09</v>
      </c>
      <c r="BU25" s="5">
        <f t="shared" si="10"/>
        <v>-31.584405928799619</v>
      </c>
      <c r="BV25" s="5" t="str">
        <f t="shared" si="11"/>
        <v/>
      </c>
      <c r="BW25" s="5" t="str">
        <f t="shared" si="12"/>
        <v/>
      </c>
      <c r="BX25" s="1">
        <f t="shared" si="13"/>
        <v>-31.584405928799619</v>
      </c>
    </row>
    <row r="26" spans="1:76">
      <c r="A26" s="1">
        <v>24</v>
      </c>
      <c r="B26" s="10">
        <v>1662</v>
      </c>
      <c r="C26" s="10"/>
      <c r="D26" s="4">
        <f t="shared" si="14"/>
        <v>23.633886859575291</v>
      </c>
      <c r="E26" s="3">
        <f t="shared" si="15"/>
        <v>24</v>
      </c>
      <c r="F26" s="4">
        <f t="shared" si="1"/>
        <v>18.694454014416436</v>
      </c>
      <c r="G26" s="4">
        <f t="shared" si="2"/>
        <v>-37.182471325596872</v>
      </c>
      <c r="H26" s="4">
        <f t="shared" si="3"/>
        <v>1624.8175286744031</v>
      </c>
      <c r="J26" s="3" t="s">
        <v>26</v>
      </c>
      <c r="AA26" s="5">
        <f t="shared" si="21"/>
        <v>4.0378336052638859E-2</v>
      </c>
      <c r="AB26" s="5">
        <f t="shared" si="21"/>
        <v>7.8664926337100524E-2</v>
      </c>
      <c r="AC26" s="5">
        <f t="shared" si="21"/>
        <v>9.8397307450233437E-2</v>
      </c>
      <c r="AD26" s="5">
        <f t="shared" si="21"/>
        <v>0.16378312032767811</v>
      </c>
      <c r="AE26" s="5">
        <f t="shared" si="21"/>
        <v>0.17408148390430533</v>
      </c>
      <c r="AF26" s="5">
        <f t="shared" si="21"/>
        <v>0.18117133600402449</v>
      </c>
      <c r="AG26" s="5">
        <f t="shared" si="21"/>
        <v>0.19346266027906145</v>
      </c>
      <c r="AH26" s="5">
        <f t="shared" si="21"/>
        <v>0.21803802557816737</v>
      </c>
      <c r="AI26" s="5">
        <f t="shared" si="21"/>
        <v>0.26602917122424663</v>
      </c>
      <c r="AJ26" s="5">
        <f t="shared" si="21"/>
        <v>0.30548492903391461</v>
      </c>
      <c r="AK26" s="5">
        <f t="shared" si="22"/>
        <v>0.319875740588494</v>
      </c>
      <c r="AL26" s="5">
        <f t="shared" si="22"/>
        <v>0.33550339729406364</v>
      </c>
      <c r="AM26" s="5">
        <f t="shared" si="22"/>
        <v>0.348751095966013</v>
      </c>
      <c r="AN26" s="5">
        <f t="shared" si="22"/>
        <v>0.37329968327632512</v>
      </c>
      <c r="AO26" s="5">
        <f t="shared" si="22"/>
        <v>0.39364978649146093</v>
      </c>
      <c r="AP26" s="5">
        <f t="shared" si="22"/>
        <v>0.39903170973280205</v>
      </c>
      <c r="AQ26" s="5">
        <f t="shared" si="22"/>
        <v>0.40397125484759661</v>
      </c>
      <c r="AR26" s="5">
        <f t="shared" si="22"/>
        <v>0.41737876980111333</v>
      </c>
      <c r="AS26" s="5">
        <f t="shared" si="22"/>
        <v>0.47710370107005451</v>
      </c>
      <c r="AT26" s="5">
        <f t="shared" si="22"/>
        <v>0.47730534012965903</v>
      </c>
      <c r="AU26" s="5">
        <f t="shared" si="23"/>
        <v>0.48135560807695288</v>
      </c>
      <c r="AV26" s="5">
        <f t="shared" si="23"/>
        <v>0.48216967164341656</v>
      </c>
      <c r="AW26" s="5">
        <f t="shared" si="23"/>
        <v>0.49100601133152155</v>
      </c>
      <c r="AX26" s="5">
        <f t="shared" si="23"/>
        <v>0.5</v>
      </c>
      <c r="AY26" s="5">
        <f t="shared" si="23"/>
        <v>0.50851036249309101</v>
      </c>
      <c r="AZ26" s="5">
        <f t="shared" si="23"/>
        <v>0.52706539018810938</v>
      </c>
      <c r="BA26" s="5">
        <f t="shared" si="23"/>
        <v>0.54352484084976016</v>
      </c>
      <c r="BB26" s="5">
        <f t="shared" si="23"/>
        <v>0.60655232561175665</v>
      </c>
      <c r="BC26" s="5" t="str">
        <f t="shared" si="23"/>
        <v/>
      </c>
      <c r="BD26" s="5" t="str">
        <f t="shared" si="23"/>
        <v/>
      </c>
      <c r="BE26" s="5" t="str">
        <f t="shared" si="24"/>
        <v/>
      </c>
      <c r="BF26" s="5" t="str">
        <f t="shared" si="24"/>
        <v/>
      </c>
      <c r="BG26" s="5" t="str">
        <f t="shared" si="24"/>
        <v/>
      </c>
      <c r="BH26" s="5" t="str">
        <f t="shared" si="24"/>
        <v/>
      </c>
      <c r="BI26" s="5" t="str">
        <f t="shared" si="24"/>
        <v/>
      </c>
      <c r="BJ26" s="5" t="str">
        <f t="shared" si="24"/>
        <v/>
      </c>
      <c r="BK26" s="5" t="str">
        <f t="shared" si="24"/>
        <v/>
      </c>
      <c r="BL26" s="5" t="str">
        <f t="shared" si="24"/>
        <v/>
      </c>
      <c r="BM26" s="5" t="str">
        <f t="shared" si="24"/>
        <v/>
      </c>
      <c r="BN26" s="5" t="str">
        <f t="shared" si="24"/>
        <v/>
      </c>
      <c r="BO26" s="5" t="str">
        <f t="shared" si="24"/>
        <v/>
      </c>
      <c r="BP26" s="5" t="str">
        <f t="shared" si="24"/>
        <v/>
      </c>
      <c r="BQ26" s="5" t="str">
        <f t="shared" si="24"/>
        <v/>
      </c>
      <c r="BR26" s="9">
        <f t="shared" si="8"/>
        <v>0.48674902695033284</v>
      </c>
      <c r="BS26" s="5">
        <f t="shared" si="9"/>
        <v>9.3055459855835618</v>
      </c>
      <c r="BT26" s="5">
        <f t="shared" si="16"/>
        <v>-0.1</v>
      </c>
      <c r="BU26" s="5">
        <f t="shared" si="10"/>
        <v>-37.182471325596872</v>
      </c>
      <c r="BV26" s="5" t="str">
        <f t="shared" si="11"/>
        <v/>
      </c>
      <c r="BW26" s="5" t="str">
        <f t="shared" si="12"/>
        <v/>
      </c>
      <c r="BX26" s="1">
        <f t="shared" si="13"/>
        <v>-37.182471325596872</v>
      </c>
    </row>
    <row r="27" spans="1:76">
      <c r="A27" s="1">
        <v>25</v>
      </c>
      <c r="B27" s="10">
        <v>1622</v>
      </c>
      <c r="C27" s="10"/>
      <c r="D27" s="4">
        <f t="shared" si="14"/>
        <v>17.725415144681467</v>
      </c>
      <c r="E27" s="3">
        <f t="shared" si="15"/>
        <v>25</v>
      </c>
      <c r="F27" s="4">
        <f t="shared" si="1"/>
        <v>18.888160942478443</v>
      </c>
      <c r="G27" s="4">
        <f t="shared" si="2"/>
        <v>-42.870278982296824</v>
      </c>
      <c r="H27" s="4">
        <f t="shared" si="3"/>
        <v>1579.1297210177031</v>
      </c>
      <c r="J27" s="3" t="s">
        <v>12</v>
      </c>
      <c r="AA27" s="5">
        <f t="shared" si="21"/>
        <v>3.9079620415999806E-2</v>
      </c>
      <c r="AB27" s="5">
        <f t="shared" si="21"/>
        <v>7.6232599006401405E-2</v>
      </c>
      <c r="AC27" s="5">
        <f t="shared" si="21"/>
        <v>9.541804074120927E-2</v>
      </c>
      <c r="AD27" s="5">
        <f t="shared" si="21"/>
        <v>0.15917362142397884</v>
      </c>
      <c r="AE27" s="5">
        <f t="shared" si="21"/>
        <v>0.16924080826925594</v>
      </c>
      <c r="AF27" s="5">
        <f t="shared" si="21"/>
        <v>0.17617556638539583</v>
      </c>
      <c r="AG27" s="5">
        <f t="shared" si="21"/>
        <v>0.18820586198183936</v>
      </c>
      <c r="AH27" s="5">
        <f t="shared" si="21"/>
        <v>0.21228922459390076</v>
      </c>
      <c r="AI27" s="5">
        <f t="shared" si="21"/>
        <v>0.2594348395710267</v>
      </c>
      <c r="AJ27" s="5">
        <f t="shared" si="21"/>
        <v>0.29831007154039269</v>
      </c>
      <c r="AK27" s="5">
        <f t="shared" si="22"/>
        <v>0.31251497830908403</v>
      </c>
      <c r="AL27" s="5">
        <f t="shared" si="22"/>
        <v>0.32795642768690114</v>
      </c>
      <c r="AM27" s="5">
        <f t="shared" si="22"/>
        <v>0.34105907768575844</v>
      </c>
      <c r="AN27" s="5">
        <f t="shared" si="22"/>
        <v>0.36536998843657165</v>
      </c>
      <c r="AO27" s="5">
        <f t="shared" si="22"/>
        <v>0.38555375550809656</v>
      </c>
      <c r="AP27" s="5">
        <f t="shared" si="22"/>
        <v>0.39089634816536756</v>
      </c>
      <c r="AQ27" s="5">
        <f t="shared" si="22"/>
        <v>0.39580151280405534</v>
      </c>
      <c r="AR27" s="5">
        <f t="shared" si="22"/>
        <v>0.40912400028064694</v>
      </c>
      <c r="AS27" s="5">
        <f t="shared" si="22"/>
        <v>0.46861779859326436</v>
      </c>
      <c r="AT27" s="5">
        <f t="shared" si="22"/>
        <v>0.46881906675118817</v>
      </c>
      <c r="AU27" s="5">
        <f t="shared" si="23"/>
        <v>0.47286246928978926</v>
      </c>
      <c r="AV27" s="5">
        <f t="shared" si="23"/>
        <v>0.47367528746716581</v>
      </c>
      <c r="AW27" s="5">
        <f t="shared" si="23"/>
        <v>0.48250100647754685</v>
      </c>
      <c r="AX27" s="5">
        <f t="shared" si="23"/>
        <v>0.49148963750690894</v>
      </c>
      <c r="AY27" s="5">
        <f t="shared" si="23"/>
        <v>0.5</v>
      </c>
      <c r="AZ27" s="5">
        <f t="shared" si="23"/>
        <v>0.51857213904480803</v>
      </c>
      <c r="BA27" s="5">
        <f t="shared" si="23"/>
        <v>0.53506643449348157</v>
      </c>
      <c r="BB27" s="5">
        <f t="shared" si="23"/>
        <v>0.59839887509151879</v>
      </c>
      <c r="BC27" s="5" t="str">
        <f t="shared" si="23"/>
        <v/>
      </c>
      <c r="BD27" s="5" t="str">
        <f t="shared" si="23"/>
        <v/>
      </c>
      <c r="BE27" s="5" t="str">
        <f t="shared" si="24"/>
        <v/>
      </c>
      <c r="BF27" s="5" t="str">
        <f t="shared" si="24"/>
        <v/>
      </c>
      <c r="BG27" s="5" t="str">
        <f t="shared" si="24"/>
        <v/>
      </c>
      <c r="BH27" s="5" t="str">
        <f t="shared" si="24"/>
        <v/>
      </c>
      <c r="BI27" s="5" t="str">
        <f t="shared" si="24"/>
        <v/>
      </c>
      <c r="BJ27" s="5" t="str">
        <f t="shared" si="24"/>
        <v/>
      </c>
      <c r="BK27" s="5" t="str">
        <f t="shared" si="24"/>
        <v/>
      </c>
      <c r="BL27" s="5" t="str">
        <f t="shared" si="24"/>
        <v/>
      </c>
      <c r="BM27" s="5" t="str">
        <f t="shared" si="24"/>
        <v/>
      </c>
      <c r="BN27" s="5" t="str">
        <f t="shared" si="24"/>
        <v/>
      </c>
      <c r="BO27" s="5" t="str">
        <f t="shared" si="24"/>
        <v/>
      </c>
      <c r="BP27" s="5" t="str">
        <f t="shared" si="24"/>
        <v/>
      </c>
      <c r="BQ27" s="5" t="str">
        <f t="shared" si="24"/>
        <v/>
      </c>
      <c r="BR27" s="9">
        <f t="shared" si="8"/>
        <v>0.49525725007270688</v>
      </c>
      <c r="BS27" s="5">
        <f t="shared" si="9"/>
        <v>9.1118390575215553</v>
      </c>
      <c r="BT27" s="5">
        <f t="shared" si="16"/>
        <v>-0.11</v>
      </c>
      <c r="BU27" s="5">
        <f t="shared" si="10"/>
        <v>-42.870278982296824</v>
      </c>
      <c r="BV27" s="5" t="str">
        <f t="shared" si="11"/>
        <v/>
      </c>
      <c r="BW27" s="5" t="str">
        <f t="shared" si="12"/>
        <v/>
      </c>
      <c r="BX27" s="1">
        <f t="shared" si="13"/>
        <v>-42.870278982296824</v>
      </c>
    </row>
    <row r="28" spans="1:76">
      <c r="A28" s="1">
        <v>26</v>
      </c>
      <c r="B28" s="10">
        <v>1537</v>
      </c>
      <c r="C28" s="10"/>
      <c r="D28" s="4">
        <f t="shared" si="14"/>
        <v>11.816943429787646</v>
      </c>
      <c r="E28" s="3">
        <f t="shared" si="15"/>
        <v>26</v>
      </c>
      <c r="F28" s="4">
        <f t="shared" si="1"/>
        <v>19.305717614463873</v>
      </c>
      <c r="G28" s="4">
        <f t="shared" si="2"/>
        <v>-46.959159896686629</v>
      </c>
      <c r="H28" s="4">
        <f t="shared" si="3"/>
        <v>1490.0408401033133</v>
      </c>
      <c r="J28" s="3" t="s">
        <v>13</v>
      </c>
      <c r="AA28" s="5">
        <f t="shared" si="21"/>
        <v>3.6382266940978424E-2</v>
      </c>
      <c r="AB28" s="5">
        <f t="shared" si="21"/>
        <v>7.1160776867193659E-2</v>
      </c>
      <c r="AC28" s="5">
        <f t="shared" si="21"/>
        <v>8.9193037546170723E-2</v>
      </c>
      <c r="AD28" s="5">
        <f t="shared" si="21"/>
        <v>0.14947656045673571</v>
      </c>
      <c r="AE28" s="5">
        <f t="shared" si="21"/>
        <v>0.15904645121635147</v>
      </c>
      <c r="AF28" s="5">
        <f t="shared" si="21"/>
        <v>0.16564677876543954</v>
      </c>
      <c r="AG28" s="5">
        <f t="shared" si="21"/>
        <v>0.17711267686974702</v>
      </c>
      <c r="AH28" s="5">
        <f t="shared" si="21"/>
        <v>0.20012646790306826</v>
      </c>
      <c r="AI28" s="5">
        <f t="shared" si="21"/>
        <v>0.24541249453895952</v>
      </c>
      <c r="AJ28" s="5">
        <f t="shared" si="21"/>
        <v>0.28298945649865004</v>
      </c>
      <c r="AK28" s="5">
        <f t="shared" si="22"/>
        <v>0.29677337794241287</v>
      </c>
      <c r="AL28" s="5">
        <f t="shared" si="22"/>
        <v>0.31178977874667285</v>
      </c>
      <c r="AM28" s="5">
        <f t="shared" si="22"/>
        <v>0.32455846312035502</v>
      </c>
      <c r="AN28" s="5">
        <f t="shared" si="22"/>
        <v>0.34831492301391759</v>
      </c>
      <c r="AO28" s="5">
        <f t="shared" si="22"/>
        <v>0.36810301076774937</v>
      </c>
      <c r="AP28" s="5">
        <f t="shared" si="22"/>
        <v>0.3733507208759031</v>
      </c>
      <c r="AQ28" s="5">
        <f t="shared" si="22"/>
        <v>0.37817241129633522</v>
      </c>
      <c r="AR28" s="5">
        <f t="shared" si="22"/>
        <v>0.39128579591657187</v>
      </c>
      <c r="AS28" s="5">
        <f t="shared" si="22"/>
        <v>0.45016184914493618</v>
      </c>
      <c r="AT28" s="5">
        <f t="shared" si="22"/>
        <v>0.45036190871149129</v>
      </c>
      <c r="AU28" s="5">
        <f t="shared" si="23"/>
        <v>0.45438229590023527</v>
      </c>
      <c r="AV28" s="5">
        <f t="shared" si="23"/>
        <v>0.45519077845113648</v>
      </c>
      <c r="AW28" s="5">
        <f t="shared" si="23"/>
        <v>0.46397569812325151</v>
      </c>
      <c r="AX28" s="5">
        <f t="shared" si="23"/>
        <v>0.47293460981189051</v>
      </c>
      <c r="AY28" s="5">
        <f t="shared" si="23"/>
        <v>0.48142786095519197</v>
      </c>
      <c r="AZ28" s="5">
        <f t="shared" si="23"/>
        <v>0.5</v>
      </c>
      <c r="BA28" s="5">
        <f t="shared" si="23"/>
        <v>0.51653737588817883</v>
      </c>
      <c r="BB28" s="5">
        <f t="shared" si="23"/>
        <v>0.58041455926660535</v>
      </c>
      <c r="BC28" s="5" t="str">
        <f t="shared" si="23"/>
        <v/>
      </c>
      <c r="BD28" s="5" t="str">
        <f t="shared" si="23"/>
        <v/>
      </c>
      <c r="BE28" s="5" t="str">
        <f t="shared" si="24"/>
        <v/>
      </c>
      <c r="BF28" s="5" t="str">
        <f t="shared" si="24"/>
        <v/>
      </c>
      <c r="BG28" s="5" t="str">
        <f t="shared" si="24"/>
        <v/>
      </c>
      <c r="BH28" s="5" t="str">
        <f t="shared" si="24"/>
        <v/>
      </c>
      <c r="BI28" s="5" t="str">
        <f t="shared" si="24"/>
        <v/>
      </c>
      <c r="BJ28" s="5" t="str">
        <f t="shared" si="24"/>
        <v/>
      </c>
      <c r="BK28" s="5" t="str">
        <f t="shared" si="24"/>
        <v/>
      </c>
      <c r="BL28" s="5" t="str">
        <f t="shared" si="24"/>
        <v/>
      </c>
      <c r="BM28" s="5" t="str">
        <f t="shared" si="24"/>
        <v/>
      </c>
      <c r="BN28" s="5" t="str">
        <f t="shared" si="24"/>
        <v/>
      </c>
      <c r="BO28" s="5" t="str">
        <f t="shared" si="24"/>
        <v/>
      </c>
      <c r="BP28" s="5" t="str">
        <f t="shared" si="24"/>
        <v/>
      </c>
      <c r="BQ28" s="5" t="str">
        <f t="shared" si="24"/>
        <v/>
      </c>
      <c r="BR28" s="9">
        <f t="shared" si="8"/>
        <v>0.51383426337181171</v>
      </c>
      <c r="BS28" s="5">
        <f t="shared" si="9"/>
        <v>8.6942823855361286</v>
      </c>
      <c r="BT28" s="5">
        <f t="shared" si="16"/>
        <v>-0.12</v>
      </c>
      <c r="BU28" s="5">
        <f t="shared" si="10"/>
        <v>-46.959159896686629</v>
      </c>
      <c r="BV28" s="5" t="str">
        <f t="shared" si="11"/>
        <v/>
      </c>
      <c r="BW28" s="5" t="str">
        <f t="shared" si="12"/>
        <v/>
      </c>
      <c r="BX28" s="1">
        <f t="shared" si="13"/>
        <v>-46.959159896686629</v>
      </c>
    </row>
    <row r="29" spans="1:76">
      <c r="A29" s="1">
        <v>27</v>
      </c>
      <c r="B29" s="10">
        <v>1464</v>
      </c>
      <c r="C29" s="10"/>
      <c r="D29" s="4">
        <f t="shared" si="14"/>
        <v>5.9084717148938228</v>
      </c>
      <c r="E29" s="3">
        <f t="shared" si="15"/>
        <v>27</v>
      </c>
      <c r="F29" s="4">
        <f t="shared" si="1"/>
        <v>19.670870461124942</v>
      </c>
      <c r="G29" s="4">
        <f t="shared" si="2"/>
        <v>-51.422353849107573</v>
      </c>
      <c r="H29" s="4">
        <f t="shared" si="3"/>
        <v>1412.5776461508924</v>
      </c>
      <c r="J29" s="3" t="s">
        <v>14</v>
      </c>
      <c r="AA29" s="5">
        <f t="shared" si="21"/>
        <v>3.4132164444775168E-2</v>
      </c>
      <c r="AB29" s="5">
        <f t="shared" si="21"/>
        <v>6.6909107611243093E-2</v>
      </c>
      <c r="AC29" s="5">
        <f t="shared" si="21"/>
        <v>8.396137670833792E-2</v>
      </c>
      <c r="AD29" s="5">
        <f t="shared" si="21"/>
        <v>0.14125733338373292</v>
      </c>
      <c r="AE29" s="5">
        <f t="shared" si="21"/>
        <v>0.1503940556290741</v>
      </c>
      <c r="AF29" s="5">
        <f t="shared" si="21"/>
        <v>0.15670222266910069</v>
      </c>
      <c r="AG29" s="5">
        <f t="shared" si="21"/>
        <v>0.16767341015521661</v>
      </c>
      <c r="AH29" s="5">
        <f t="shared" si="21"/>
        <v>0.18974349069377719</v>
      </c>
      <c r="AI29" s="5">
        <f t="shared" si="21"/>
        <v>0.2333654673790769</v>
      </c>
      <c r="AJ29" s="5">
        <f t="shared" si="21"/>
        <v>0.26975724749185598</v>
      </c>
      <c r="AK29" s="5">
        <f t="shared" si="22"/>
        <v>0.28315117457721295</v>
      </c>
      <c r="AL29" s="5">
        <f t="shared" si="22"/>
        <v>0.2977701668494272</v>
      </c>
      <c r="AM29" s="5">
        <f t="shared" si="22"/>
        <v>0.31022351368083495</v>
      </c>
      <c r="AN29" s="5">
        <f t="shared" si="22"/>
        <v>0.33344870492277234</v>
      </c>
      <c r="AO29" s="5">
        <f t="shared" si="22"/>
        <v>0.35284951117518004</v>
      </c>
      <c r="AP29" s="5">
        <f t="shared" si="22"/>
        <v>0.35800296588555724</v>
      </c>
      <c r="AQ29" s="5">
        <f t="shared" si="22"/>
        <v>0.36274118151163537</v>
      </c>
      <c r="AR29" s="5">
        <f t="shared" si="22"/>
        <v>0.37564272179356545</v>
      </c>
      <c r="AS29" s="5">
        <f t="shared" si="22"/>
        <v>0.4338425789873071</v>
      </c>
      <c r="AT29" s="5">
        <f t="shared" si="22"/>
        <v>0.43404111114974792</v>
      </c>
      <c r="AU29" s="5">
        <f t="shared" si="23"/>
        <v>0.43803191419387633</v>
      </c>
      <c r="AV29" s="5">
        <f t="shared" si="23"/>
        <v>0.43883470309416145</v>
      </c>
      <c r="AW29" s="5">
        <f t="shared" si="23"/>
        <v>0.44756327840175547</v>
      </c>
      <c r="AX29" s="5">
        <f t="shared" si="23"/>
        <v>0.45647515915023984</v>
      </c>
      <c r="AY29" s="5">
        <f t="shared" si="23"/>
        <v>0.46493356550651849</v>
      </c>
      <c r="AZ29" s="5">
        <f t="shared" si="23"/>
        <v>0.48346262411182117</v>
      </c>
      <c r="BA29" s="5">
        <f t="shared" si="23"/>
        <v>0.5</v>
      </c>
      <c r="BB29" s="5">
        <f t="shared" si="23"/>
        <v>0.56421878771725775</v>
      </c>
      <c r="BC29" s="5" t="str">
        <f t="shared" si="23"/>
        <v/>
      </c>
      <c r="BD29" s="5" t="str">
        <f t="shared" si="23"/>
        <v/>
      </c>
      <c r="BE29" s="5" t="str">
        <f t="shared" si="24"/>
        <v/>
      </c>
      <c r="BF29" s="5" t="str">
        <f t="shared" si="24"/>
        <v/>
      </c>
      <c r="BG29" s="5" t="str">
        <f t="shared" si="24"/>
        <v/>
      </c>
      <c r="BH29" s="5" t="str">
        <f t="shared" si="24"/>
        <v/>
      </c>
      <c r="BI29" s="5" t="str">
        <f t="shared" si="24"/>
        <v/>
      </c>
      <c r="BJ29" s="5" t="str">
        <f t="shared" si="24"/>
        <v/>
      </c>
      <c r="BK29" s="5" t="str">
        <f t="shared" si="24"/>
        <v/>
      </c>
      <c r="BL29" s="5" t="str">
        <f t="shared" si="24"/>
        <v/>
      </c>
      <c r="BM29" s="5" t="str">
        <f t="shared" si="24"/>
        <v/>
      </c>
      <c r="BN29" s="5" t="str">
        <f t="shared" si="24"/>
        <v/>
      </c>
      <c r="BO29" s="5" t="str">
        <f t="shared" si="24"/>
        <v/>
      </c>
      <c r="BP29" s="5" t="str">
        <f t="shared" si="24"/>
        <v/>
      </c>
      <c r="BQ29" s="5" t="str">
        <f t="shared" si="24"/>
        <v/>
      </c>
      <c r="BR29" s="9">
        <f t="shared" si="8"/>
        <v>0.53034387068410849</v>
      </c>
      <c r="BS29" s="5">
        <f t="shared" si="9"/>
        <v>8.3291295388750601</v>
      </c>
      <c r="BT29" s="5">
        <f t="shared" si="16"/>
        <v>-0.13</v>
      </c>
      <c r="BU29" s="5">
        <f t="shared" si="10"/>
        <v>-51.422353849107573</v>
      </c>
      <c r="BV29" s="5" t="str">
        <f t="shared" si="11"/>
        <v/>
      </c>
      <c r="BW29" s="5" t="str">
        <f t="shared" si="12"/>
        <v/>
      </c>
      <c r="BX29" s="1">
        <f t="shared" si="13"/>
        <v>-51.422353849107573</v>
      </c>
    </row>
    <row r="30" spans="1:76">
      <c r="A30" s="1">
        <v>28</v>
      </c>
      <c r="B30" s="10">
        <v>1203</v>
      </c>
      <c r="C30" s="10"/>
      <c r="D30" s="4">
        <f t="shared" si="14"/>
        <v>2.9542358574469114</v>
      </c>
      <c r="E30" s="3">
        <f t="shared" si="15"/>
        <v>28</v>
      </c>
      <c r="F30" s="4">
        <f t="shared" si="1"/>
        <v>21.027737400129471</v>
      </c>
      <c r="G30" s="4">
        <f t="shared" si="2"/>
        <v>-48.801875713360928</v>
      </c>
      <c r="H30" s="4">
        <f t="shared" si="3"/>
        <v>1154.1981242866391</v>
      </c>
      <c r="J30" s="3" t="s">
        <v>30</v>
      </c>
      <c r="AA30" s="5">
        <f t="shared" si="21"/>
        <v>2.6568824241668509E-2</v>
      </c>
      <c r="AB30" s="5">
        <f t="shared" si="21"/>
        <v>5.247734436425279E-2</v>
      </c>
      <c r="AC30" s="5">
        <f t="shared" si="21"/>
        <v>6.6112174061344162E-2</v>
      </c>
      <c r="AD30" s="5">
        <f t="shared" si="21"/>
        <v>0.11272659422458862</v>
      </c>
      <c r="AE30" s="5">
        <f t="shared" si="21"/>
        <v>0.12027637804715932</v>
      </c>
      <c r="AF30" s="5">
        <f t="shared" si="21"/>
        <v>0.12550789686461283</v>
      </c>
      <c r="AG30" s="5">
        <f t="shared" si="21"/>
        <v>0.13464378307018149</v>
      </c>
      <c r="AH30" s="5">
        <f t="shared" si="21"/>
        <v>0.15316636802273376</v>
      </c>
      <c r="AI30" s="5">
        <f t="shared" si="21"/>
        <v>0.19035483029721598</v>
      </c>
      <c r="AJ30" s="5">
        <f t="shared" si="21"/>
        <v>0.22198148711106436</v>
      </c>
      <c r="AK30" s="5">
        <f t="shared" si="22"/>
        <v>0.2337626271405884</v>
      </c>
      <c r="AL30" s="5">
        <f t="shared" si="22"/>
        <v>0.24670927960452002</v>
      </c>
      <c r="AM30" s="5">
        <f t="shared" si="22"/>
        <v>0.25781115683355216</v>
      </c>
      <c r="AN30" s="5">
        <f t="shared" si="22"/>
        <v>0.27869786202127378</v>
      </c>
      <c r="AO30" s="5">
        <f t="shared" si="22"/>
        <v>0.2963293329222077</v>
      </c>
      <c r="AP30" s="5">
        <f t="shared" si="22"/>
        <v>0.30104129819813785</v>
      </c>
      <c r="AQ30" s="5">
        <f t="shared" si="22"/>
        <v>0.30538423049269525</v>
      </c>
      <c r="AR30" s="5">
        <f t="shared" si="22"/>
        <v>0.31726139006697446</v>
      </c>
      <c r="AS30" s="5">
        <f t="shared" si="22"/>
        <v>0.37180240649360152</v>
      </c>
      <c r="AT30" s="5">
        <f t="shared" si="22"/>
        <v>0.37199120203727204</v>
      </c>
      <c r="AU30" s="5">
        <f t="shared" si="23"/>
        <v>0.37579030404217229</v>
      </c>
      <c r="AV30" s="5">
        <f t="shared" si="23"/>
        <v>0.3765554568883997</v>
      </c>
      <c r="AW30" s="5">
        <f t="shared" si="23"/>
        <v>0.38489492051145191</v>
      </c>
      <c r="AX30" s="5">
        <f t="shared" si="23"/>
        <v>0.39344767438824335</v>
      </c>
      <c r="AY30" s="5">
        <f t="shared" si="23"/>
        <v>0.40160112490848121</v>
      </c>
      <c r="AZ30" s="5">
        <f t="shared" si="23"/>
        <v>0.41958544073339454</v>
      </c>
      <c r="BA30" s="5">
        <f t="shared" si="23"/>
        <v>0.4357812122827423</v>
      </c>
      <c r="BB30" s="5">
        <f t="shared" si="23"/>
        <v>0.5</v>
      </c>
      <c r="BC30" s="5" t="str">
        <f t="shared" si="23"/>
        <v/>
      </c>
      <c r="BD30" s="5" t="str">
        <f t="shared" si="23"/>
        <v/>
      </c>
      <c r="BE30" s="5" t="str">
        <f t="shared" si="24"/>
        <v/>
      </c>
      <c r="BF30" s="5" t="str">
        <f t="shared" si="24"/>
        <v/>
      </c>
      <c r="BG30" s="5" t="str">
        <f t="shared" si="24"/>
        <v/>
      </c>
      <c r="BH30" s="5" t="str">
        <f t="shared" si="24"/>
        <v/>
      </c>
      <c r="BI30" s="5" t="str">
        <f t="shared" si="24"/>
        <v/>
      </c>
      <c r="BJ30" s="5" t="str">
        <f t="shared" si="24"/>
        <v/>
      </c>
      <c r="BK30" s="5" t="str">
        <f t="shared" si="24"/>
        <v/>
      </c>
      <c r="BL30" s="5" t="str">
        <f t="shared" si="24"/>
        <v/>
      </c>
      <c r="BM30" s="5" t="str">
        <f t="shared" si="24"/>
        <v/>
      </c>
      <c r="BN30" s="5" t="str">
        <f t="shared" si="24"/>
        <v/>
      </c>
      <c r="BO30" s="5" t="str">
        <f t="shared" si="24"/>
        <v/>
      </c>
      <c r="BP30" s="5" t="str">
        <f t="shared" si="24"/>
        <v/>
      </c>
      <c r="BQ30" s="5" t="str">
        <f t="shared" si="24"/>
        <v/>
      </c>
      <c r="BR30" s="9">
        <f t="shared" si="8"/>
        <v>0.59383128236768823</v>
      </c>
      <c r="BS30" s="5">
        <f t="shared" si="9"/>
        <v>6.9722625998705299</v>
      </c>
      <c r="BT30" s="5">
        <f t="shared" si="16"/>
        <v>-0.14000000000000001</v>
      </c>
      <c r="BU30" s="5">
        <f t="shared" si="10"/>
        <v>-48.801875713360928</v>
      </c>
      <c r="BV30" s="5" t="str">
        <f t="shared" si="11"/>
        <v/>
      </c>
      <c r="BW30" s="5" t="str">
        <f t="shared" si="12"/>
        <v/>
      </c>
      <c r="BX30" s="1">
        <f t="shared" si="13"/>
        <v>-48.801875713360928</v>
      </c>
    </row>
    <row r="31" spans="1:76">
      <c r="A31" s="1">
        <v>29</v>
      </c>
      <c r="B31" s="10"/>
      <c r="C31" s="10"/>
      <c r="D31" s="4" t="str">
        <f t="shared" si="14"/>
        <v/>
      </c>
      <c r="E31" s="3" t="str">
        <f t="shared" si="15"/>
        <v/>
      </c>
      <c r="F31" s="4" t="str">
        <f t="shared" si="1"/>
        <v/>
      </c>
      <c r="G31" s="4" t="str">
        <f t="shared" si="2"/>
        <v/>
      </c>
      <c r="H31" s="4" t="str">
        <f t="shared" si="3"/>
        <v/>
      </c>
      <c r="AA31" s="5" t="str">
        <f t="shared" si="21"/>
        <v/>
      </c>
      <c r="AB31" s="5" t="str">
        <f t="shared" si="21"/>
        <v/>
      </c>
      <c r="AC31" s="5" t="str">
        <f t="shared" si="21"/>
        <v/>
      </c>
      <c r="AD31" s="5" t="str">
        <f t="shared" si="21"/>
        <v/>
      </c>
      <c r="AE31" s="5" t="str">
        <f t="shared" si="21"/>
        <v/>
      </c>
      <c r="AF31" s="5" t="str">
        <f t="shared" si="21"/>
        <v/>
      </c>
      <c r="AG31" s="5" t="str">
        <f t="shared" si="21"/>
        <v/>
      </c>
      <c r="AH31" s="5" t="str">
        <f t="shared" si="21"/>
        <v/>
      </c>
      <c r="AI31" s="5" t="str">
        <f t="shared" si="21"/>
        <v/>
      </c>
      <c r="AJ31" s="5" t="str">
        <f t="shared" si="21"/>
        <v/>
      </c>
      <c r="AK31" s="5" t="str">
        <f t="shared" si="22"/>
        <v/>
      </c>
      <c r="AL31" s="5" t="str">
        <f t="shared" si="22"/>
        <v/>
      </c>
      <c r="AM31" s="5" t="str">
        <f t="shared" si="22"/>
        <v/>
      </c>
      <c r="AN31" s="5" t="str">
        <f t="shared" si="22"/>
        <v/>
      </c>
      <c r="AO31" s="5" t="str">
        <f t="shared" si="22"/>
        <v/>
      </c>
      <c r="AP31" s="5" t="str">
        <f t="shared" si="22"/>
        <v/>
      </c>
      <c r="AQ31" s="5" t="str">
        <f t="shared" si="22"/>
        <v/>
      </c>
      <c r="AR31" s="5" t="str">
        <f t="shared" si="22"/>
        <v/>
      </c>
      <c r="AS31" s="5" t="str">
        <f t="shared" si="22"/>
        <v/>
      </c>
      <c r="AT31" s="5" t="str">
        <f t="shared" si="22"/>
        <v/>
      </c>
      <c r="AU31" s="5" t="str">
        <f t="shared" si="23"/>
        <v/>
      </c>
      <c r="AV31" s="5" t="str">
        <f t="shared" si="23"/>
        <v/>
      </c>
      <c r="AW31" s="5" t="str">
        <f t="shared" si="23"/>
        <v/>
      </c>
      <c r="AX31" s="5" t="str">
        <f t="shared" si="23"/>
        <v/>
      </c>
      <c r="AY31" s="5" t="str">
        <f t="shared" si="23"/>
        <v/>
      </c>
      <c r="AZ31" s="5" t="str">
        <f t="shared" si="23"/>
        <v/>
      </c>
      <c r="BA31" s="5" t="str">
        <f t="shared" si="23"/>
        <v/>
      </c>
      <c r="BB31" s="5" t="str">
        <f t="shared" si="23"/>
        <v/>
      </c>
      <c r="BC31" s="5" t="str">
        <f t="shared" si="23"/>
        <v/>
      </c>
      <c r="BD31" s="5" t="str">
        <f t="shared" si="23"/>
        <v/>
      </c>
      <c r="BE31" s="5" t="str">
        <f t="shared" si="24"/>
        <v/>
      </c>
      <c r="BF31" s="5" t="str">
        <f t="shared" si="24"/>
        <v/>
      </c>
      <c r="BG31" s="5" t="str">
        <f t="shared" si="24"/>
        <v/>
      </c>
      <c r="BH31" s="5" t="str">
        <f t="shared" si="24"/>
        <v/>
      </c>
      <c r="BI31" s="5" t="str">
        <f t="shared" si="24"/>
        <v/>
      </c>
      <c r="BJ31" s="5" t="str">
        <f t="shared" si="24"/>
        <v/>
      </c>
      <c r="BK31" s="5" t="str">
        <f t="shared" si="24"/>
        <v/>
      </c>
      <c r="BL31" s="5" t="str">
        <f t="shared" si="24"/>
        <v/>
      </c>
      <c r="BM31" s="5" t="str">
        <f t="shared" si="24"/>
        <v/>
      </c>
      <c r="BN31" s="5" t="str">
        <f t="shared" si="24"/>
        <v/>
      </c>
      <c r="BO31" s="5" t="str">
        <f t="shared" si="24"/>
        <v/>
      </c>
      <c r="BP31" s="5" t="str">
        <f t="shared" si="24"/>
        <v/>
      </c>
      <c r="BQ31" s="5" t="str">
        <f t="shared" si="24"/>
        <v/>
      </c>
      <c r="BR31" s="9" t="str">
        <f t="shared" si="8"/>
        <v/>
      </c>
      <c r="BS31" s="5" t="str">
        <f t="shared" si="9"/>
        <v/>
      </c>
      <c r="BT31" s="5" t="str">
        <f t="shared" si="16"/>
        <v/>
      </c>
      <c r="BU31" s="5" t="str">
        <f t="shared" si="10"/>
        <v/>
      </c>
      <c r="BV31" s="5" t="str">
        <f t="shared" si="11"/>
        <v/>
      </c>
      <c r="BW31" s="5" t="str">
        <f t="shared" si="12"/>
        <v/>
      </c>
      <c r="BX31" s="1" t="str">
        <f t="shared" si="13"/>
        <v/>
      </c>
    </row>
    <row r="32" spans="1:76">
      <c r="A32" s="1">
        <v>30</v>
      </c>
      <c r="B32" s="10"/>
      <c r="C32" s="10"/>
      <c r="D32" s="4" t="str">
        <f t="shared" si="14"/>
        <v/>
      </c>
      <c r="E32" s="3" t="str">
        <f t="shared" si="15"/>
        <v/>
      </c>
      <c r="F32" s="4" t="str">
        <f t="shared" si="1"/>
        <v/>
      </c>
      <c r="G32" s="4" t="str">
        <f t="shared" si="2"/>
        <v/>
      </c>
      <c r="H32" s="4" t="str">
        <f t="shared" si="3"/>
        <v/>
      </c>
      <c r="AA32" s="5" t="str">
        <f t="shared" si="21"/>
        <v/>
      </c>
      <c r="AB32" s="5" t="str">
        <f t="shared" si="21"/>
        <v/>
      </c>
      <c r="AC32" s="5" t="str">
        <f t="shared" si="21"/>
        <v/>
      </c>
      <c r="AD32" s="5" t="str">
        <f t="shared" si="21"/>
        <v/>
      </c>
      <c r="AE32" s="5" t="str">
        <f t="shared" si="21"/>
        <v/>
      </c>
      <c r="AF32" s="5" t="str">
        <f t="shared" si="21"/>
        <v/>
      </c>
      <c r="AG32" s="5" t="str">
        <f t="shared" si="21"/>
        <v/>
      </c>
      <c r="AH32" s="5" t="str">
        <f t="shared" si="21"/>
        <v/>
      </c>
      <c r="AI32" s="5" t="str">
        <f t="shared" si="21"/>
        <v/>
      </c>
      <c r="AJ32" s="5" t="str">
        <f t="shared" si="21"/>
        <v/>
      </c>
      <c r="AK32" s="5" t="str">
        <f t="shared" si="22"/>
        <v/>
      </c>
      <c r="AL32" s="5" t="str">
        <f t="shared" si="22"/>
        <v/>
      </c>
      <c r="AM32" s="5" t="str">
        <f t="shared" si="22"/>
        <v/>
      </c>
      <c r="AN32" s="5" t="str">
        <f t="shared" si="22"/>
        <v/>
      </c>
      <c r="AO32" s="5" t="str">
        <f t="shared" si="22"/>
        <v/>
      </c>
      <c r="AP32" s="5" t="str">
        <f t="shared" si="22"/>
        <v/>
      </c>
      <c r="AQ32" s="5" t="str">
        <f t="shared" si="22"/>
        <v/>
      </c>
      <c r="AR32" s="5" t="str">
        <f t="shared" si="22"/>
        <v/>
      </c>
      <c r="AS32" s="5" t="str">
        <f t="shared" si="22"/>
        <v/>
      </c>
      <c r="AT32" s="5" t="str">
        <f t="shared" si="22"/>
        <v/>
      </c>
      <c r="AU32" s="5" t="str">
        <f t="shared" si="23"/>
        <v/>
      </c>
      <c r="AV32" s="5" t="str">
        <f t="shared" si="23"/>
        <v/>
      </c>
      <c r="AW32" s="5" t="str">
        <f t="shared" si="23"/>
        <v/>
      </c>
      <c r="AX32" s="5" t="str">
        <f t="shared" si="23"/>
        <v/>
      </c>
      <c r="AY32" s="5" t="str">
        <f t="shared" si="23"/>
        <v/>
      </c>
      <c r="AZ32" s="5" t="str">
        <f t="shared" si="23"/>
        <v/>
      </c>
      <c r="BA32" s="5" t="str">
        <f t="shared" si="23"/>
        <v/>
      </c>
      <c r="BB32" s="5" t="str">
        <f t="shared" si="23"/>
        <v/>
      </c>
      <c r="BC32" s="5" t="str">
        <f t="shared" si="23"/>
        <v/>
      </c>
      <c r="BD32" s="5" t="str">
        <f t="shared" si="23"/>
        <v/>
      </c>
      <c r="BE32" s="5" t="str">
        <f t="shared" si="24"/>
        <v/>
      </c>
      <c r="BF32" s="5" t="str">
        <f t="shared" si="24"/>
        <v/>
      </c>
      <c r="BG32" s="5" t="str">
        <f t="shared" si="24"/>
        <v/>
      </c>
      <c r="BH32" s="5" t="str">
        <f t="shared" si="24"/>
        <v/>
      </c>
      <c r="BI32" s="5" t="str">
        <f t="shared" si="24"/>
        <v/>
      </c>
      <c r="BJ32" s="5" t="str">
        <f t="shared" si="24"/>
        <v/>
      </c>
      <c r="BK32" s="5" t="str">
        <f t="shared" si="24"/>
        <v/>
      </c>
      <c r="BL32" s="5" t="str">
        <f t="shared" si="24"/>
        <v/>
      </c>
      <c r="BM32" s="5" t="str">
        <f t="shared" si="24"/>
        <v/>
      </c>
      <c r="BN32" s="5" t="str">
        <f t="shared" si="24"/>
        <v/>
      </c>
      <c r="BO32" s="5" t="str">
        <f t="shared" si="24"/>
        <v/>
      </c>
      <c r="BP32" s="5" t="str">
        <f t="shared" si="24"/>
        <v/>
      </c>
      <c r="BQ32" s="5" t="str">
        <f t="shared" si="24"/>
        <v/>
      </c>
      <c r="BR32" s="9" t="str">
        <f t="shared" si="8"/>
        <v/>
      </c>
      <c r="BS32" s="5" t="str">
        <f t="shared" si="9"/>
        <v/>
      </c>
      <c r="BT32" s="5" t="str">
        <f t="shared" si="16"/>
        <v/>
      </c>
      <c r="BU32" s="5" t="str">
        <f t="shared" si="10"/>
        <v/>
      </c>
      <c r="BV32" s="5" t="str">
        <f t="shared" si="11"/>
        <v/>
      </c>
      <c r="BW32" s="5" t="str">
        <f t="shared" si="12"/>
        <v/>
      </c>
      <c r="BX32" s="1" t="str">
        <f t="shared" si="13"/>
        <v/>
      </c>
    </row>
    <row r="33" spans="1:76">
      <c r="A33" s="1">
        <v>31</v>
      </c>
      <c r="B33" s="10"/>
      <c r="C33" s="10"/>
      <c r="D33" s="4" t="str">
        <f t="shared" si="14"/>
        <v/>
      </c>
      <c r="E33" s="3" t="str">
        <f t="shared" si="15"/>
        <v/>
      </c>
      <c r="F33" s="4" t="str">
        <f t="shared" si="1"/>
        <v/>
      </c>
      <c r="G33" s="4" t="str">
        <f t="shared" si="2"/>
        <v/>
      </c>
      <c r="H33" s="4" t="str">
        <f t="shared" si="3"/>
        <v/>
      </c>
      <c r="AA33" s="5" t="str">
        <f t="shared" ref="AA33:AJ46" si="25">IF(OR($B33="",AA$2=""),"",(1-EXP(-$B33/$BR$1))*EXP(-AA$2/$BR$1)/((1-EXP(-AA$2/$BR$1))*EXP(-$B33/$BR$1)+(1-EXP(-$B33/$BR$1))*EXP(-AA$2/$BR$1)))</f>
        <v/>
      </c>
      <c r="AB33" s="5" t="str">
        <f t="shared" si="25"/>
        <v/>
      </c>
      <c r="AC33" s="5" t="str">
        <f t="shared" si="25"/>
        <v/>
      </c>
      <c r="AD33" s="5" t="str">
        <f t="shared" si="25"/>
        <v/>
      </c>
      <c r="AE33" s="5" t="str">
        <f t="shared" si="25"/>
        <v/>
      </c>
      <c r="AF33" s="5" t="str">
        <f t="shared" si="25"/>
        <v/>
      </c>
      <c r="AG33" s="5" t="str">
        <f t="shared" si="25"/>
        <v/>
      </c>
      <c r="AH33" s="5" t="str">
        <f t="shared" si="25"/>
        <v/>
      </c>
      <c r="AI33" s="5" t="str">
        <f t="shared" si="25"/>
        <v/>
      </c>
      <c r="AJ33" s="5" t="str">
        <f t="shared" si="25"/>
        <v/>
      </c>
      <c r="AK33" s="5" t="str">
        <f t="shared" ref="AK33:AT46" si="26">IF(OR($B33="",AK$2=""),"",(1-EXP(-$B33/$BR$1))*EXP(-AK$2/$BR$1)/((1-EXP(-AK$2/$BR$1))*EXP(-$B33/$BR$1)+(1-EXP(-$B33/$BR$1))*EXP(-AK$2/$BR$1)))</f>
        <v/>
      </c>
      <c r="AL33" s="5" t="str">
        <f t="shared" si="26"/>
        <v/>
      </c>
      <c r="AM33" s="5" t="str">
        <f t="shared" si="26"/>
        <v/>
      </c>
      <c r="AN33" s="5" t="str">
        <f t="shared" si="26"/>
        <v/>
      </c>
      <c r="AO33" s="5" t="str">
        <f t="shared" si="26"/>
        <v/>
      </c>
      <c r="AP33" s="5" t="str">
        <f t="shared" si="26"/>
        <v/>
      </c>
      <c r="AQ33" s="5" t="str">
        <f t="shared" si="26"/>
        <v/>
      </c>
      <c r="AR33" s="5" t="str">
        <f t="shared" si="26"/>
        <v/>
      </c>
      <c r="AS33" s="5" t="str">
        <f t="shared" si="26"/>
        <v/>
      </c>
      <c r="AT33" s="5" t="str">
        <f t="shared" si="26"/>
        <v/>
      </c>
      <c r="AU33" s="5" t="str">
        <f t="shared" ref="AU33:BD46" si="27">IF(OR($B33="",AU$2=""),"",(1-EXP(-$B33/$BR$1))*EXP(-AU$2/$BR$1)/((1-EXP(-AU$2/$BR$1))*EXP(-$B33/$BR$1)+(1-EXP(-$B33/$BR$1))*EXP(-AU$2/$BR$1)))</f>
        <v/>
      </c>
      <c r="AV33" s="5" t="str">
        <f t="shared" si="27"/>
        <v/>
      </c>
      <c r="AW33" s="5" t="str">
        <f t="shared" si="27"/>
        <v/>
      </c>
      <c r="AX33" s="5" t="str">
        <f t="shared" si="27"/>
        <v/>
      </c>
      <c r="AY33" s="5" t="str">
        <f t="shared" si="27"/>
        <v/>
      </c>
      <c r="AZ33" s="5" t="str">
        <f t="shared" si="27"/>
        <v/>
      </c>
      <c r="BA33" s="5" t="str">
        <f t="shared" si="27"/>
        <v/>
      </c>
      <c r="BB33" s="5" t="str">
        <f t="shared" si="27"/>
        <v/>
      </c>
      <c r="BC33" s="5" t="str">
        <f t="shared" si="27"/>
        <v/>
      </c>
      <c r="BD33" s="5" t="str">
        <f t="shared" si="27"/>
        <v/>
      </c>
      <c r="BE33" s="5" t="str">
        <f t="shared" ref="BE33:BQ46" si="28">IF(OR($B33="",BE$2=""),"",(1-EXP(-$B33/$BR$1))*EXP(-BE$2/$BR$1)/((1-EXP(-BE$2/$BR$1))*EXP(-$B33/$BR$1)+(1-EXP(-$B33/$BR$1))*EXP(-BE$2/$BR$1)))</f>
        <v/>
      </c>
      <c r="BF33" s="5" t="str">
        <f t="shared" si="28"/>
        <v/>
      </c>
      <c r="BG33" s="5" t="str">
        <f t="shared" si="28"/>
        <v/>
      </c>
      <c r="BH33" s="5" t="str">
        <f t="shared" si="28"/>
        <v/>
      </c>
      <c r="BI33" s="5" t="str">
        <f t="shared" si="28"/>
        <v/>
      </c>
      <c r="BJ33" s="5" t="str">
        <f t="shared" si="28"/>
        <v/>
      </c>
      <c r="BK33" s="5" t="str">
        <f t="shared" si="28"/>
        <v/>
      </c>
      <c r="BL33" s="5" t="str">
        <f t="shared" si="28"/>
        <v/>
      </c>
      <c r="BM33" s="5" t="str">
        <f t="shared" si="28"/>
        <v/>
      </c>
      <c r="BN33" s="5" t="str">
        <f t="shared" si="28"/>
        <v/>
      </c>
      <c r="BO33" s="5" t="str">
        <f t="shared" si="28"/>
        <v/>
      </c>
      <c r="BP33" s="5" t="str">
        <f t="shared" si="28"/>
        <v/>
      </c>
      <c r="BQ33" s="5" t="str">
        <f t="shared" si="28"/>
        <v/>
      </c>
      <c r="BR33" s="9" t="str">
        <f t="shared" si="8"/>
        <v/>
      </c>
      <c r="BS33" s="5" t="str">
        <f t="shared" si="9"/>
        <v/>
      </c>
      <c r="BT33" s="5" t="str">
        <f t="shared" si="16"/>
        <v/>
      </c>
      <c r="BU33" s="5" t="str">
        <f t="shared" si="10"/>
        <v/>
      </c>
      <c r="BV33" s="5" t="str">
        <f t="shared" si="11"/>
        <v/>
      </c>
      <c r="BW33" s="5" t="str">
        <f t="shared" si="12"/>
        <v/>
      </c>
      <c r="BX33" s="1" t="str">
        <f t="shared" si="13"/>
        <v/>
      </c>
    </row>
    <row r="34" spans="1:76">
      <c r="A34" s="1">
        <v>32</v>
      </c>
      <c r="B34" s="10"/>
      <c r="C34" s="10"/>
      <c r="D34" s="4" t="str">
        <f t="shared" si="14"/>
        <v/>
      </c>
      <c r="E34" s="3" t="str">
        <f t="shared" si="15"/>
        <v/>
      </c>
      <c r="F34" s="4" t="str">
        <f t="shared" si="1"/>
        <v/>
      </c>
      <c r="G34" s="4" t="str">
        <f t="shared" si="2"/>
        <v/>
      </c>
      <c r="H34" s="4" t="str">
        <f t="shared" si="3"/>
        <v/>
      </c>
      <c r="AA34" s="5" t="str">
        <f t="shared" si="25"/>
        <v/>
      </c>
      <c r="AB34" s="5" t="str">
        <f t="shared" si="25"/>
        <v/>
      </c>
      <c r="AC34" s="5" t="str">
        <f t="shared" si="25"/>
        <v/>
      </c>
      <c r="AD34" s="5" t="str">
        <f t="shared" si="25"/>
        <v/>
      </c>
      <c r="AE34" s="5" t="str">
        <f t="shared" si="25"/>
        <v/>
      </c>
      <c r="AF34" s="5" t="str">
        <f t="shared" si="25"/>
        <v/>
      </c>
      <c r="AG34" s="5" t="str">
        <f t="shared" si="25"/>
        <v/>
      </c>
      <c r="AH34" s="5" t="str">
        <f t="shared" si="25"/>
        <v/>
      </c>
      <c r="AI34" s="5" t="str">
        <f t="shared" si="25"/>
        <v/>
      </c>
      <c r="AJ34" s="5" t="str">
        <f t="shared" si="25"/>
        <v/>
      </c>
      <c r="AK34" s="5" t="str">
        <f t="shared" si="26"/>
        <v/>
      </c>
      <c r="AL34" s="5" t="str">
        <f t="shared" si="26"/>
        <v/>
      </c>
      <c r="AM34" s="5" t="str">
        <f t="shared" si="26"/>
        <v/>
      </c>
      <c r="AN34" s="5" t="str">
        <f t="shared" si="26"/>
        <v/>
      </c>
      <c r="AO34" s="5" t="str">
        <f t="shared" si="26"/>
        <v/>
      </c>
      <c r="AP34" s="5" t="str">
        <f t="shared" si="26"/>
        <v/>
      </c>
      <c r="AQ34" s="5" t="str">
        <f t="shared" si="26"/>
        <v/>
      </c>
      <c r="AR34" s="5" t="str">
        <f t="shared" si="26"/>
        <v/>
      </c>
      <c r="AS34" s="5" t="str">
        <f t="shared" si="26"/>
        <v/>
      </c>
      <c r="AT34" s="5" t="str">
        <f t="shared" si="26"/>
        <v/>
      </c>
      <c r="AU34" s="5" t="str">
        <f t="shared" si="27"/>
        <v/>
      </c>
      <c r="AV34" s="5" t="str">
        <f t="shared" si="27"/>
        <v/>
      </c>
      <c r="AW34" s="5" t="str">
        <f t="shared" si="27"/>
        <v/>
      </c>
      <c r="AX34" s="5" t="str">
        <f t="shared" si="27"/>
        <v/>
      </c>
      <c r="AY34" s="5" t="str">
        <f t="shared" si="27"/>
        <v/>
      </c>
      <c r="AZ34" s="5" t="str">
        <f t="shared" si="27"/>
        <v/>
      </c>
      <c r="BA34" s="5" t="str">
        <f t="shared" si="27"/>
        <v/>
      </c>
      <c r="BB34" s="5" t="str">
        <f t="shared" si="27"/>
        <v/>
      </c>
      <c r="BC34" s="5" t="str">
        <f t="shared" si="27"/>
        <v/>
      </c>
      <c r="BD34" s="5" t="str">
        <f t="shared" si="27"/>
        <v/>
      </c>
      <c r="BE34" s="5" t="str">
        <f t="shared" si="28"/>
        <v/>
      </c>
      <c r="BF34" s="5" t="str">
        <f t="shared" si="28"/>
        <v/>
      </c>
      <c r="BG34" s="5" t="str">
        <f t="shared" si="28"/>
        <v/>
      </c>
      <c r="BH34" s="5" t="str">
        <f t="shared" si="28"/>
        <v/>
      </c>
      <c r="BI34" s="5" t="str">
        <f t="shared" si="28"/>
        <v/>
      </c>
      <c r="BJ34" s="5" t="str">
        <f t="shared" si="28"/>
        <v/>
      </c>
      <c r="BK34" s="5" t="str">
        <f t="shared" si="28"/>
        <v/>
      </c>
      <c r="BL34" s="5" t="str">
        <f t="shared" si="28"/>
        <v/>
      </c>
      <c r="BM34" s="5" t="str">
        <f t="shared" si="28"/>
        <v/>
      </c>
      <c r="BN34" s="5" t="str">
        <f t="shared" si="28"/>
        <v/>
      </c>
      <c r="BO34" s="5" t="str">
        <f t="shared" si="28"/>
        <v/>
      </c>
      <c r="BP34" s="5" t="str">
        <f t="shared" si="28"/>
        <v/>
      </c>
      <c r="BQ34" s="5" t="str">
        <f t="shared" si="28"/>
        <v/>
      </c>
      <c r="BR34" s="9" t="str">
        <f t="shared" si="8"/>
        <v/>
      </c>
      <c r="BS34" s="5" t="str">
        <f t="shared" si="9"/>
        <v/>
      </c>
      <c r="BT34" s="5" t="str">
        <f t="shared" si="16"/>
        <v/>
      </c>
      <c r="BU34" s="5" t="str">
        <f t="shared" si="10"/>
        <v/>
      </c>
      <c r="BV34" s="5" t="str">
        <f t="shared" si="11"/>
        <v/>
      </c>
      <c r="BW34" s="5" t="str">
        <f t="shared" si="12"/>
        <v/>
      </c>
      <c r="BX34" s="1" t="str">
        <f t="shared" si="13"/>
        <v/>
      </c>
    </row>
    <row r="35" spans="1:76">
      <c r="A35" s="1">
        <v>33</v>
      </c>
      <c r="B35" s="10"/>
      <c r="C35" s="10"/>
      <c r="D35" s="4" t="str">
        <f t="shared" si="14"/>
        <v/>
      </c>
      <c r="E35" s="3" t="str">
        <f t="shared" si="15"/>
        <v/>
      </c>
      <c r="F35" s="4" t="str">
        <f t="shared" si="1"/>
        <v/>
      </c>
      <c r="G35" s="4" t="str">
        <f t="shared" si="2"/>
        <v/>
      </c>
      <c r="H35" s="4" t="str">
        <f t="shared" si="3"/>
        <v/>
      </c>
      <c r="AA35" s="5" t="str">
        <f t="shared" si="25"/>
        <v/>
      </c>
      <c r="AB35" s="5" t="str">
        <f t="shared" si="25"/>
        <v/>
      </c>
      <c r="AC35" s="5" t="str">
        <f t="shared" si="25"/>
        <v/>
      </c>
      <c r="AD35" s="5" t="str">
        <f t="shared" si="25"/>
        <v/>
      </c>
      <c r="AE35" s="5" t="str">
        <f t="shared" si="25"/>
        <v/>
      </c>
      <c r="AF35" s="5" t="str">
        <f t="shared" si="25"/>
        <v/>
      </c>
      <c r="AG35" s="5" t="str">
        <f t="shared" si="25"/>
        <v/>
      </c>
      <c r="AH35" s="5" t="str">
        <f t="shared" si="25"/>
        <v/>
      </c>
      <c r="AI35" s="5" t="str">
        <f t="shared" si="25"/>
        <v/>
      </c>
      <c r="AJ35" s="5" t="str">
        <f t="shared" si="25"/>
        <v/>
      </c>
      <c r="AK35" s="5" t="str">
        <f t="shared" si="26"/>
        <v/>
      </c>
      <c r="AL35" s="5" t="str">
        <f t="shared" si="26"/>
        <v/>
      </c>
      <c r="AM35" s="5" t="str">
        <f t="shared" si="26"/>
        <v/>
      </c>
      <c r="AN35" s="5" t="str">
        <f t="shared" si="26"/>
        <v/>
      </c>
      <c r="AO35" s="5" t="str">
        <f t="shared" si="26"/>
        <v/>
      </c>
      <c r="AP35" s="5" t="str">
        <f t="shared" si="26"/>
        <v/>
      </c>
      <c r="AQ35" s="5" t="str">
        <f t="shared" si="26"/>
        <v/>
      </c>
      <c r="AR35" s="5" t="str">
        <f t="shared" si="26"/>
        <v/>
      </c>
      <c r="AS35" s="5" t="str">
        <f t="shared" si="26"/>
        <v/>
      </c>
      <c r="AT35" s="5" t="str">
        <f t="shared" si="26"/>
        <v/>
      </c>
      <c r="AU35" s="5" t="str">
        <f t="shared" si="27"/>
        <v/>
      </c>
      <c r="AV35" s="5" t="str">
        <f t="shared" si="27"/>
        <v/>
      </c>
      <c r="AW35" s="5" t="str">
        <f t="shared" si="27"/>
        <v/>
      </c>
      <c r="AX35" s="5" t="str">
        <f t="shared" si="27"/>
        <v/>
      </c>
      <c r="AY35" s="5" t="str">
        <f t="shared" si="27"/>
        <v/>
      </c>
      <c r="AZ35" s="5" t="str">
        <f t="shared" si="27"/>
        <v/>
      </c>
      <c r="BA35" s="5" t="str">
        <f t="shared" si="27"/>
        <v/>
      </c>
      <c r="BB35" s="5" t="str">
        <f t="shared" si="27"/>
        <v/>
      </c>
      <c r="BC35" s="5" t="str">
        <f t="shared" si="27"/>
        <v/>
      </c>
      <c r="BD35" s="5" t="str">
        <f t="shared" si="27"/>
        <v/>
      </c>
      <c r="BE35" s="5" t="str">
        <f t="shared" si="28"/>
        <v/>
      </c>
      <c r="BF35" s="5" t="str">
        <f t="shared" si="28"/>
        <v/>
      </c>
      <c r="BG35" s="5" t="str">
        <f t="shared" si="28"/>
        <v/>
      </c>
      <c r="BH35" s="5" t="str">
        <f t="shared" si="28"/>
        <v/>
      </c>
      <c r="BI35" s="5" t="str">
        <f t="shared" si="28"/>
        <v/>
      </c>
      <c r="BJ35" s="5" t="str">
        <f t="shared" si="28"/>
        <v/>
      </c>
      <c r="BK35" s="5" t="str">
        <f t="shared" si="28"/>
        <v/>
      </c>
      <c r="BL35" s="5" t="str">
        <f t="shared" si="28"/>
        <v/>
      </c>
      <c r="BM35" s="5" t="str">
        <f t="shared" si="28"/>
        <v/>
      </c>
      <c r="BN35" s="5" t="str">
        <f t="shared" si="28"/>
        <v/>
      </c>
      <c r="BO35" s="5" t="str">
        <f t="shared" si="28"/>
        <v/>
      </c>
      <c r="BP35" s="5" t="str">
        <f t="shared" si="28"/>
        <v/>
      </c>
      <c r="BQ35" s="5" t="str">
        <f t="shared" si="28"/>
        <v/>
      </c>
      <c r="BR35" s="9" t="str">
        <f t="shared" si="8"/>
        <v/>
      </c>
      <c r="BS35" s="5" t="str">
        <f t="shared" si="9"/>
        <v/>
      </c>
      <c r="BT35" s="5" t="str">
        <f t="shared" si="16"/>
        <v/>
      </c>
      <c r="BU35" s="5" t="str">
        <f t="shared" si="10"/>
        <v/>
      </c>
      <c r="BV35" s="5" t="str">
        <f t="shared" si="11"/>
        <v/>
      </c>
      <c r="BW35" s="5" t="str">
        <f t="shared" si="12"/>
        <v/>
      </c>
      <c r="BX35" s="1" t="str">
        <f t="shared" si="13"/>
        <v/>
      </c>
    </row>
    <row r="36" spans="1:76">
      <c r="A36" s="1">
        <v>34</v>
      </c>
      <c r="B36" s="10"/>
      <c r="C36" s="10"/>
      <c r="D36" s="4" t="str">
        <f t="shared" si="14"/>
        <v/>
      </c>
      <c r="E36" s="3" t="str">
        <f t="shared" si="15"/>
        <v/>
      </c>
      <c r="F36" s="4" t="str">
        <f t="shared" si="1"/>
        <v/>
      </c>
      <c r="G36" s="4" t="str">
        <f t="shared" si="2"/>
        <v/>
      </c>
      <c r="H36" s="4" t="str">
        <f t="shared" si="3"/>
        <v/>
      </c>
      <c r="AA36" s="5" t="str">
        <f t="shared" si="25"/>
        <v/>
      </c>
      <c r="AB36" s="5" t="str">
        <f t="shared" si="25"/>
        <v/>
      </c>
      <c r="AC36" s="5" t="str">
        <f t="shared" si="25"/>
        <v/>
      </c>
      <c r="AD36" s="5" t="str">
        <f t="shared" si="25"/>
        <v/>
      </c>
      <c r="AE36" s="5" t="str">
        <f t="shared" si="25"/>
        <v/>
      </c>
      <c r="AF36" s="5" t="str">
        <f t="shared" si="25"/>
        <v/>
      </c>
      <c r="AG36" s="5" t="str">
        <f t="shared" si="25"/>
        <v/>
      </c>
      <c r="AH36" s="5" t="str">
        <f t="shared" si="25"/>
        <v/>
      </c>
      <c r="AI36" s="5" t="str">
        <f t="shared" si="25"/>
        <v/>
      </c>
      <c r="AJ36" s="5" t="str">
        <f t="shared" si="25"/>
        <v/>
      </c>
      <c r="AK36" s="5" t="str">
        <f t="shared" si="26"/>
        <v/>
      </c>
      <c r="AL36" s="5" t="str">
        <f t="shared" si="26"/>
        <v/>
      </c>
      <c r="AM36" s="5" t="str">
        <f t="shared" si="26"/>
        <v/>
      </c>
      <c r="AN36" s="5" t="str">
        <f t="shared" si="26"/>
        <v/>
      </c>
      <c r="AO36" s="5" t="str">
        <f t="shared" si="26"/>
        <v/>
      </c>
      <c r="AP36" s="5" t="str">
        <f t="shared" si="26"/>
        <v/>
      </c>
      <c r="AQ36" s="5" t="str">
        <f t="shared" si="26"/>
        <v/>
      </c>
      <c r="AR36" s="5" t="str">
        <f t="shared" si="26"/>
        <v/>
      </c>
      <c r="AS36" s="5" t="str">
        <f t="shared" si="26"/>
        <v/>
      </c>
      <c r="AT36" s="5" t="str">
        <f t="shared" si="26"/>
        <v/>
      </c>
      <c r="AU36" s="5" t="str">
        <f t="shared" si="27"/>
        <v/>
      </c>
      <c r="AV36" s="5" t="str">
        <f t="shared" si="27"/>
        <v/>
      </c>
      <c r="AW36" s="5" t="str">
        <f t="shared" si="27"/>
        <v/>
      </c>
      <c r="AX36" s="5" t="str">
        <f t="shared" si="27"/>
        <v/>
      </c>
      <c r="AY36" s="5" t="str">
        <f t="shared" si="27"/>
        <v/>
      </c>
      <c r="AZ36" s="5" t="str">
        <f t="shared" si="27"/>
        <v/>
      </c>
      <c r="BA36" s="5" t="str">
        <f t="shared" si="27"/>
        <v/>
      </c>
      <c r="BB36" s="5" t="str">
        <f t="shared" si="27"/>
        <v/>
      </c>
      <c r="BC36" s="5" t="str">
        <f t="shared" si="27"/>
        <v/>
      </c>
      <c r="BD36" s="5" t="str">
        <f t="shared" si="27"/>
        <v/>
      </c>
      <c r="BE36" s="5" t="str">
        <f t="shared" si="28"/>
        <v/>
      </c>
      <c r="BF36" s="5" t="str">
        <f t="shared" si="28"/>
        <v/>
      </c>
      <c r="BG36" s="5" t="str">
        <f t="shared" si="28"/>
        <v/>
      </c>
      <c r="BH36" s="5" t="str">
        <f t="shared" si="28"/>
        <v/>
      </c>
      <c r="BI36" s="5" t="str">
        <f t="shared" si="28"/>
        <v/>
      </c>
      <c r="BJ36" s="5" t="str">
        <f t="shared" si="28"/>
        <v/>
      </c>
      <c r="BK36" s="5" t="str">
        <f t="shared" si="28"/>
        <v/>
      </c>
      <c r="BL36" s="5" t="str">
        <f t="shared" si="28"/>
        <v/>
      </c>
      <c r="BM36" s="5" t="str">
        <f t="shared" si="28"/>
        <v/>
      </c>
      <c r="BN36" s="5" t="str">
        <f t="shared" si="28"/>
        <v/>
      </c>
      <c r="BO36" s="5" t="str">
        <f t="shared" si="28"/>
        <v/>
      </c>
      <c r="BP36" s="5" t="str">
        <f t="shared" si="28"/>
        <v/>
      </c>
      <c r="BQ36" s="5" t="str">
        <f t="shared" si="28"/>
        <v/>
      </c>
      <c r="BR36" s="9" t="str">
        <f t="shared" si="8"/>
        <v/>
      </c>
      <c r="BS36" s="5" t="str">
        <f t="shared" si="9"/>
        <v/>
      </c>
      <c r="BT36" s="5" t="str">
        <f t="shared" si="16"/>
        <v/>
      </c>
      <c r="BU36" s="5" t="str">
        <f t="shared" si="10"/>
        <v/>
      </c>
      <c r="BV36" s="5" t="str">
        <f t="shared" si="11"/>
        <v/>
      </c>
      <c r="BW36" s="5" t="str">
        <f t="shared" si="12"/>
        <v/>
      </c>
      <c r="BX36" s="1" t="str">
        <f t="shared" si="13"/>
        <v/>
      </c>
    </row>
    <row r="37" spans="1:76">
      <c r="A37" s="1">
        <v>35</v>
      </c>
      <c r="B37" s="10"/>
      <c r="C37" s="10"/>
      <c r="D37" s="4" t="str">
        <f t="shared" si="14"/>
        <v/>
      </c>
      <c r="E37" s="3" t="str">
        <f t="shared" si="15"/>
        <v/>
      </c>
      <c r="F37" s="4" t="str">
        <f t="shared" si="1"/>
        <v/>
      </c>
      <c r="G37" s="4" t="str">
        <f t="shared" si="2"/>
        <v/>
      </c>
      <c r="H37" s="4" t="str">
        <f t="shared" si="3"/>
        <v/>
      </c>
      <c r="AA37" s="5" t="str">
        <f t="shared" si="25"/>
        <v/>
      </c>
      <c r="AB37" s="5" t="str">
        <f t="shared" si="25"/>
        <v/>
      </c>
      <c r="AC37" s="5" t="str">
        <f t="shared" si="25"/>
        <v/>
      </c>
      <c r="AD37" s="5" t="str">
        <f t="shared" si="25"/>
        <v/>
      </c>
      <c r="AE37" s="5" t="str">
        <f t="shared" si="25"/>
        <v/>
      </c>
      <c r="AF37" s="5" t="str">
        <f t="shared" si="25"/>
        <v/>
      </c>
      <c r="AG37" s="5" t="str">
        <f t="shared" si="25"/>
        <v/>
      </c>
      <c r="AH37" s="5" t="str">
        <f t="shared" si="25"/>
        <v/>
      </c>
      <c r="AI37" s="5" t="str">
        <f t="shared" si="25"/>
        <v/>
      </c>
      <c r="AJ37" s="5" t="str">
        <f t="shared" si="25"/>
        <v/>
      </c>
      <c r="AK37" s="5" t="str">
        <f t="shared" si="26"/>
        <v/>
      </c>
      <c r="AL37" s="5" t="str">
        <f t="shared" si="26"/>
        <v/>
      </c>
      <c r="AM37" s="5" t="str">
        <f t="shared" si="26"/>
        <v/>
      </c>
      <c r="AN37" s="5" t="str">
        <f t="shared" si="26"/>
        <v/>
      </c>
      <c r="AO37" s="5" t="str">
        <f t="shared" si="26"/>
        <v/>
      </c>
      <c r="AP37" s="5" t="str">
        <f t="shared" si="26"/>
        <v/>
      </c>
      <c r="AQ37" s="5" t="str">
        <f t="shared" si="26"/>
        <v/>
      </c>
      <c r="AR37" s="5" t="str">
        <f t="shared" si="26"/>
        <v/>
      </c>
      <c r="AS37" s="5" t="str">
        <f t="shared" si="26"/>
        <v/>
      </c>
      <c r="AT37" s="5" t="str">
        <f t="shared" si="26"/>
        <v/>
      </c>
      <c r="AU37" s="5" t="str">
        <f t="shared" si="27"/>
        <v/>
      </c>
      <c r="AV37" s="5" t="str">
        <f t="shared" si="27"/>
        <v/>
      </c>
      <c r="AW37" s="5" t="str">
        <f t="shared" si="27"/>
        <v/>
      </c>
      <c r="AX37" s="5" t="str">
        <f t="shared" si="27"/>
        <v/>
      </c>
      <c r="AY37" s="5" t="str">
        <f t="shared" si="27"/>
        <v/>
      </c>
      <c r="AZ37" s="5" t="str">
        <f t="shared" si="27"/>
        <v/>
      </c>
      <c r="BA37" s="5" t="str">
        <f t="shared" si="27"/>
        <v/>
      </c>
      <c r="BB37" s="5" t="str">
        <f t="shared" si="27"/>
        <v/>
      </c>
      <c r="BC37" s="5" t="str">
        <f t="shared" si="27"/>
        <v/>
      </c>
      <c r="BD37" s="5" t="str">
        <f t="shared" si="27"/>
        <v/>
      </c>
      <c r="BE37" s="5" t="str">
        <f t="shared" si="28"/>
        <v/>
      </c>
      <c r="BF37" s="5" t="str">
        <f t="shared" si="28"/>
        <v/>
      </c>
      <c r="BG37" s="5" t="str">
        <f t="shared" si="28"/>
        <v/>
      </c>
      <c r="BH37" s="5" t="str">
        <f t="shared" si="28"/>
        <v/>
      </c>
      <c r="BI37" s="5" t="str">
        <f t="shared" si="28"/>
        <v/>
      </c>
      <c r="BJ37" s="5" t="str">
        <f t="shared" si="28"/>
        <v/>
      </c>
      <c r="BK37" s="5" t="str">
        <f t="shared" si="28"/>
        <v/>
      </c>
      <c r="BL37" s="5" t="str">
        <f t="shared" si="28"/>
        <v/>
      </c>
      <c r="BM37" s="5" t="str">
        <f t="shared" si="28"/>
        <v/>
      </c>
      <c r="BN37" s="5" t="str">
        <f t="shared" si="28"/>
        <v/>
      </c>
      <c r="BO37" s="5" t="str">
        <f t="shared" si="28"/>
        <v/>
      </c>
      <c r="BP37" s="5" t="str">
        <f t="shared" si="28"/>
        <v/>
      </c>
      <c r="BQ37" s="5" t="str">
        <f t="shared" si="28"/>
        <v/>
      </c>
      <c r="BR37" s="9" t="str">
        <f t="shared" si="8"/>
        <v/>
      </c>
      <c r="BS37" s="5" t="str">
        <f t="shared" si="9"/>
        <v/>
      </c>
      <c r="BT37" s="5" t="str">
        <f t="shared" si="16"/>
        <v/>
      </c>
      <c r="BU37" s="5" t="str">
        <f t="shared" si="10"/>
        <v/>
      </c>
      <c r="BV37" s="5" t="str">
        <f t="shared" si="11"/>
        <v/>
      </c>
      <c r="BW37" s="5" t="str">
        <f t="shared" si="12"/>
        <v/>
      </c>
      <c r="BX37" s="1" t="str">
        <f t="shared" si="13"/>
        <v/>
      </c>
    </row>
    <row r="38" spans="1:76">
      <c r="A38" s="1">
        <v>36</v>
      </c>
      <c r="B38" s="10"/>
      <c r="C38" s="10"/>
      <c r="D38" s="4" t="str">
        <f t="shared" si="14"/>
        <v/>
      </c>
      <c r="E38" s="3" t="str">
        <f t="shared" si="15"/>
        <v/>
      </c>
      <c r="F38" s="4" t="str">
        <f t="shared" si="1"/>
        <v/>
      </c>
      <c r="G38" s="4" t="str">
        <f t="shared" si="2"/>
        <v/>
      </c>
      <c r="H38" s="4" t="str">
        <f t="shared" si="3"/>
        <v/>
      </c>
      <c r="AA38" s="5" t="str">
        <f t="shared" si="25"/>
        <v/>
      </c>
      <c r="AB38" s="5" t="str">
        <f t="shared" si="25"/>
        <v/>
      </c>
      <c r="AC38" s="5" t="str">
        <f t="shared" si="25"/>
        <v/>
      </c>
      <c r="AD38" s="5" t="str">
        <f t="shared" si="25"/>
        <v/>
      </c>
      <c r="AE38" s="5" t="str">
        <f t="shared" si="25"/>
        <v/>
      </c>
      <c r="AF38" s="5" t="str">
        <f t="shared" si="25"/>
        <v/>
      </c>
      <c r="AG38" s="5" t="str">
        <f t="shared" si="25"/>
        <v/>
      </c>
      <c r="AH38" s="5" t="str">
        <f t="shared" si="25"/>
        <v/>
      </c>
      <c r="AI38" s="5" t="str">
        <f t="shared" si="25"/>
        <v/>
      </c>
      <c r="AJ38" s="5" t="str">
        <f t="shared" si="25"/>
        <v/>
      </c>
      <c r="AK38" s="5" t="str">
        <f t="shared" si="26"/>
        <v/>
      </c>
      <c r="AL38" s="5" t="str">
        <f t="shared" si="26"/>
        <v/>
      </c>
      <c r="AM38" s="5" t="str">
        <f t="shared" si="26"/>
        <v/>
      </c>
      <c r="AN38" s="5" t="str">
        <f t="shared" si="26"/>
        <v/>
      </c>
      <c r="AO38" s="5" t="str">
        <f t="shared" si="26"/>
        <v/>
      </c>
      <c r="AP38" s="5" t="str">
        <f t="shared" si="26"/>
        <v/>
      </c>
      <c r="AQ38" s="5" t="str">
        <f t="shared" si="26"/>
        <v/>
      </c>
      <c r="AR38" s="5" t="str">
        <f t="shared" si="26"/>
        <v/>
      </c>
      <c r="AS38" s="5" t="str">
        <f t="shared" si="26"/>
        <v/>
      </c>
      <c r="AT38" s="5" t="str">
        <f t="shared" si="26"/>
        <v/>
      </c>
      <c r="AU38" s="5" t="str">
        <f t="shared" si="27"/>
        <v/>
      </c>
      <c r="AV38" s="5" t="str">
        <f t="shared" si="27"/>
        <v/>
      </c>
      <c r="AW38" s="5" t="str">
        <f t="shared" si="27"/>
        <v/>
      </c>
      <c r="AX38" s="5" t="str">
        <f t="shared" si="27"/>
        <v/>
      </c>
      <c r="AY38" s="5" t="str">
        <f t="shared" si="27"/>
        <v/>
      </c>
      <c r="AZ38" s="5" t="str">
        <f t="shared" si="27"/>
        <v/>
      </c>
      <c r="BA38" s="5" t="str">
        <f t="shared" si="27"/>
        <v/>
      </c>
      <c r="BB38" s="5" t="str">
        <f t="shared" si="27"/>
        <v/>
      </c>
      <c r="BC38" s="5" t="str">
        <f t="shared" si="27"/>
        <v/>
      </c>
      <c r="BD38" s="5" t="str">
        <f t="shared" si="27"/>
        <v/>
      </c>
      <c r="BE38" s="5" t="str">
        <f t="shared" si="28"/>
        <v/>
      </c>
      <c r="BF38" s="5" t="str">
        <f t="shared" si="28"/>
        <v/>
      </c>
      <c r="BG38" s="5" t="str">
        <f t="shared" si="28"/>
        <v/>
      </c>
      <c r="BH38" s="5" t="str">
        <f t="shared" si="28"/>
        <v/>
      </c>
      <c r="BI38" s="5" t="str">
        <f t="shared" si="28"/>
        <v/>
      </c>
      <c r="BJ38" s="5" t="str">
        <f t="shared" si="28"/>
        <v/>
      </c>
      <c r="BK38" s="5" t="str">
        <f t="shared" si="28"/>
        <v/>
      </c>
      <c r="BL38" s="5" t="str">
        <f t="shared" si="28"/>
        <v/>
      </c>
      <c r="BM38" s="5" t="str">
        <f t="shared" si="28"/>
        <v/>
      </c>
      <c r="BN38" s="5" t="str">
        <f t="shared" si="28"/>
        <v/>
      </c>
      <c r="BO38" s="5" t="str">
        <f t="shared" si="28"/>
        <v/>
      </c>
      <c r="BP38" s="5" t="str">
        <f t="shared" si="28"/>
        <v/>
      </c>
      <c r="BQ38" s="5" t="str">
        <f t="shared" si="28"/>
        <v/>
      </c>
      <c r="BR38" s="9" t="str">
        <f t="shared" si="8"/>
        <v/>
      </c>
      <c r="BS38" s="5" t="str">
        <f t="shared" si="9"/>
        <v/>
      </c>
      <c r="BT38" s="5" t="str">
        <f t="shared" si="16"/>
        <v/>
      </c>
      <c r="BU38" s="5" t="str">
        <f t="shared" si="10"/>
        <v/>
      </c>
      <c r="BV38" s="5" t="str">
        <f t="shared" si="11"/>
        <v/>
      </c>
      <c r="BW38" s="5" t="str">
        <f t="shared" si="12"/>
        <v/>
      </c>
      <c r="BX38" s="1" t="str">
        <f t="shared" si="13"/>
        <v/>
      </c>
    </row>
    <row r="39" spans="1:76">
      <c r="A39" s="1">
        <v>37</v>
      </c>
      <c r="B39" s="10"/>
      <c r="C39" s="10"/>
      <c r="D39" s="4" t="str">
        <f t="shared" si="14"/>
        <v/>
      </c>
      <c r="E39" s="3" t="str">
        <f t="shared" si="15"/>
        <v/>
      </c>
      <c r="F39" s="4" t="str">
        <f t="shared" si="1"/>
        <v/>
      </c>
      <c r="G39" s="4" t="str">
        <f t="shared" si="2"/>
        <v/>
      </c>
      <c r="H39" s="4" t="str">
        <f t="shared" si="3"/>
        <v/>
      </c>
      <c r="AA39" s="5" t="str">
        <f t="shared" si="25"/>
        <v/>
      </c>
      <c r="AB39" s="5" t="str">
        <f t="shared" si="25"/>
        <v/>
      </c>
      <c r="AC39" s="5" t="str">
        <f t="shared" si="25"/>
        <v/>
      </c>
      <c r="AD39" s="5" t="str">
        <f t="shared" si="25"/>
        <v/>
      </c>
      <c r="AE39" s="5" t="str">
        <f t="shared" si="25"/>
        <v/>
      </c>
      <c r="AF39" s="5" t="str">
        <f t="shared" si="25"/>
        <v/>
      </c>
      <c r="AG39" s="5" t="str">
        <f t="shared" si="25"/>
        <v/>
      </c>
      <c r="AH39" s="5" t="str">
        <f t="shared" si="25"/>
        <v/>
      </c>
      <c r="AI39" s="5" t="str">
        <f t="shared" si="25"/>
        <v/>
      </c>
      <c r="AJ39" s="5" t="str">
        <f t="shared" si="25"/>
        <v/>
      </c>
      <c r="AK39" s="5" t="str">
        <f t="shared" si="26"/>
        <v/>
      </c>
      <c r="AL39" s="5" t="str">
        <f t="shared" si="26"/>
        <v/>
      </c>
      <c r="AM39" s="5" t="str">
        <f t="shared" si="26"/>
        <v/>
      </c>
      <c r="AN39" s="5" t="str">
        <f t="shared" si="26"/>
        <v/>
      </c>
      <c r="AO39" s="5" t="str">
        <f t="shared" si="26"/>
        <v/>
      </c>
      <c r="AP39" s="5" t="str">
        <f t="shared" si="26"/>
        <v/>
      </c>
      <c r="AQ39" s="5" t="str">
        <f t="shared" si="26"/>
        <v/>
      </c>
      <c r="AR39" s="5" t="str">
        <f t="shared" si="26"/>
        <v/>
      </c>
      <c r="AS39" s="5" t="str">
        <f t="shared" si="26"/>
        <v/>
      </c>
      <c r="AT39" s="5" t="str">
        <f t="shared" si="26"/>
        <v/>
      </c>
      <c r="AU39" s="5" t="str">
        <f t="shared" si="27"/>
        <v/>
      </c>
      <c r="AV39" s="5" t="str">
        <f t="shared" si="27"/>
        <v/>
      </c>
      <c r="AW39" s="5" t="str">
        <f t="shared" si="27"/>
        <v/>
      </c>
      <c r="AX39" s="5" t="str">
        <f t="shared" si="27"/>
        <v/>
      </c>
      <c r="AY39" s="5" t="str">
        <f t="shared" si="27"/>
        <v/>
      </c>
      <c r="AZ39" s="5" t="str">
        <f t="shared" si="27"/>
        <v/>
      </c>
      <c r="BA39" s="5" t="str">
        <f t="shared" si="27"/>
        <v/>
      </c>
      <c r="BB39" s="5" t="str">
        <f t="shared" si="27"/>
        <v/>
      </c>
      <c r="BC39" s="5" t="str">
        <f t="shared" si="27"/>
        <v/>
      </c>
      <c r="BD39" s="5" t="str">
        <f t="shared" si="27"/>
        <v/>
      </c>
      <c r="BE39" s="5" t="str">
        <f t="shared" si="28"/>
        <v/>
      </c>
      <c r="BF39" s="5" t="str">
        <f t="shared" si="28"/>
        <v/>
      </c>
      <c r="BG39" s="5" t="str">
        <f t="shared" si="28"/>
        <v/>
      </c>
      <c r="BH39" s="5" t="str">
        <f t="shared" si="28"/>
        <v/>
      </c>
      <c r="BI39" s="5" t="str">
        <f t="shared" si="28"/>
        <v/>
      </c>
      <c r="BJ39" s="5" t="str">
        <f t="shared" si="28"/>
        <v/>
      </c>
      <c r="BK39" s="5" t="str">
        <f t="shared" si="28"/>
        <v/>
      </c>
      <c r="BL39" s="5" t="str">
        <f t="shared" si="28"/>
        <v/>
      </c>
      <c r="BM39" s="5" t="str">
        <f t="shared" si="28"/>
        <v/>
      </c>
      <c r="BN39" s="5" t="str">
        <f t="shared" si="28"/>
        <v/>
      </c>
      <c r="BO39" s="5" t="str">
        <f t="shared" si="28"/>
        <v/>
      </c>
      <c r="BP39" s="5" t="str">
        <f t="shared" si="28"/>
        <v/>
      </c>
      <c r="BQ39" s="5" t="str">
        <f t="shared" si="28"/>
        <v/>
      </c>
      <c r="BR39" s="9" t="str">
        <f t="shared" si="8"/>
        <v/>
      </c>
      <c r="BS39" s="5" t="str">
        <f t="shared" si="9"/>
        <v/>
      </c>
      <c r="BT39" s="5" t="str">
        <f t="shared" si="16"/>
        <v/>
      </c>
      <c r="BU39" s="5" t="str">
        <f t="shared" si="10"/>
        <v/>
      </c>
      <c r="BV39" s="5" t="str">
        <f t="shared" si="11"/>
        <v/>
      </c>
      <c r="BW39" s="5" t="str">
        <f t="shared" si="12"/>
        <v/>
      </c>
      <c r="BX39" s="1" t="str">
        <f t="shared" si="13"/>
        <v/>
      </c>
    </row>
    <row r="40" spans="1:76">
      <c r="A40" s="1">
        <v>38</v>
      </c>
      <c r="B40" s="10"/>
      <c r="C40" s="10"/>
      <c r="D40" s="4" t="str">
        <f t="shared" si="14"/>
        <v/>
      </c>
      <c r="E40" s="3" t="str">
        <f t="shared" si="15"/>
        <v/>
      </c>
      <c r="F40" s="4" t="str">
        <f t="shared" si="1"/>
        <v/>
      </c>
      <c r="G40" s="4" t="str">
        <f t="shared" si="2"/>
        <v/>
      </c>
      <c r="H40" s="4" t="str">
        <f t="shared" si="3"/>
        <v/>
      </c>
      <c r="AA40" s="5" t="str">
        <f t="shared" si="25"/>
        <v/>
      </c>
      <c r="AB40" s="5" t="str">
        <f t="shared" si="25"/>
        <v/>
      </c>
      <c r="AC40" s="5" t="str">
        <f t="shared" si="25"/>
        <v/>
      </c>
      <c r="AD40" s="5" t="str">
        <f t="shared" si="25"/>
        <v/>
      </c>
      <c r="AE40" s="5" t="str">
        <f t="shared" si="25"/>
        <v/>
      </c>
      <c r="AF40" s="5" t="str">
        <f t="shared" si="25"/>
        <v/>
      </c>
      <c r="AG40" s="5" t="str">
        <f t="shared" si="25"/>
        <v/>
      </c>
      <c r="AH40" s="5" t="str">
        <f t="shared" si="25"/>
        <v/>
      </c>
      <c r="AI40" s="5" t="str">
        <f t="shared" si="25"/>
        <v/>
      </c>
      <c r="AJ40" s="5" t="str">
        <f t="shared" si="25"/>
        <v/>
      </c>
      <c r="AK40" s="5" t="str">
        <f t="shared" si="26"/>
        <v/>
      </c>
      <c r="AL40" s="5" t="str">
        <f t="shared" si="26"/>
        <v/>
      </c>
      <c r="AM40" s="5" t="str">
        <f t="shared" si="26"/>
        <v/>
      </c>
      <c r="AN40" s="5" t="str">
        <f t="shared" si="26"/>
        <v/>
      </c>
      <c r="AO40" s="5" t="str">
        <f t="shared" si="26"/>
        <v/>
      </c>
      <c r="AP40" s="5" t="str">
        <f t="shared" si="26"/>
        <v/>
      </c>
      <c r="AQ40" s="5" t="str">
        <f t="shared" si="26"/>
        <v/>
      </c>
      <c r="AR40" s="5" t="str">
        <f t="shared" si="26"/>
        <v/>
      </c>
      <c r="AS40" s="5" t="str">
        <f t="shared" si="26"/>
        <v/>
      </c>
      <c r="AT40" s="5" t="str">
        <f t="shared" si="26"/>
        <v/>
      </c>
      <c r="AU40" s="5" t="str">
        <f t="shared" si="27"/>
        <v/>
      </c>
      <c r="AV40" s="5" t="str">
        <f t="shared" si="27"/>
        <v/>
      </c>
      <c r="AW40" s="5" t="str">
        <f t="shared" si="27"/>
        <v/>
      </c>
      <c r="AX40" s="5" t="str">
        <f t="shared" si="27"/>
        <v/>
      </c>
      <c r="AY40" s="5" t="str">
        <f t="shared" si="27"/>
        <v/>
      </c>
      <c r="AZ40" s="5" t="str">
        <f t="shared" si="27"/>
        <v/>
      </c>
      <c r="BA40" s="5" t="str">
        <f t="shared" si="27"/>
        <v/>
      </c>
      <c r="BB40" s="5" t="str">
        <f t="shared" si="27"/>
        <v/>
      </c>
      <c r="BC40" s="5" t="str">
        <f t="shared" si="27"/>
        <v/>
      </c>
      <c r="BD40" s="5" t="str">
        <f t="shared" si="27"/>
        <v/>
      </c>
      <c r="BE40" s="5" t="str">
        <f t="shared" si="28"/>
        <v/>
      </c>
      <c r="BF40" s="5" t="str">
        <f t="shared" si="28"/>
        <v/>
      </c>
      <c r="BG40" s="5" t="str">
        <f t="shared" si="28"/>
        <v/>
      </c>
      <c r="BH40" s="5" t="str">
        <f t="shared" si="28"/>
        <v/>
      </c>
      <c r="BI40" s="5" t="str">
        <f t="shared" si="28"/>
        <v/>
      </c>
      <c r="BJ40" s="5" t="str">
        <f t="shared" si="28"/>
        <v/>
      </c>
      <c r="BK40" s="5" t="str">
        <f t="shared" si="28"/>
        <v/>
      </c>
      <c r="BL40" s="5" t="str">
        <f t="shared" si="28"/>
        <v/>
      </c>
      <c r="BM40" s="5" t="str">
        <f t="shared" si="28"/>
        <v/>
      </c>
      <c r="BN40" s="5" t="str">
        <f t="shared" si="28"/>
        <v/>
      </c>
      <c r="BO40" s="5" t="str">
        <f t="shared" si="28"/>
        <v/>
      </c>
      <c r="BP40" s="5" t="str">
        <f t="shared" si="28"/>
        <v/>
      </c>
      <c r="BQ40" s="5" t="str">
        <f t="shared" si="28"/>
        <v/>
      </c>
      <c r="BR40" s="9" t="str">
        <f t="shared" si="8"/>
        <v/>
      </c>
      <c r="BS40" s="5" t="str">
        <f t="shared" si="9"/>
        <v/>
      </c>
      <c r="BT40" s="5" t="str">
        <f t="shared" si="16"/>
        <v/>
      </c>
      <c r="BU40" s="5" t="str">
        <f t="shared" si="10"/>
        <v/>
      </c>
      <c r="BV40" s="5" t="str">
        <f t="shared" si="11"/>
        <v/>
      </c>
      <c r="BW40" s="5" t="str">
        <f t="shared" si="12"/>
        <v/>
      </c>
      <c r="BX40" s="1" t="str">
        <f t="shared" si="13"/>
        <v/>
      </c>
    </row>
    <row r="41" spans="1:76">
      <c r="A41" s="1">
        <v>39</v>
      </c>
      <c r="B41" s="10"/>
      <c r="C41" s="10"/>
      <c r="D41" s="4" t="str">
        <f t="shared" si="14"/>
        <v/>
      </c>
      <c r="E41" s="3" t="str">
        <f t="shared" si="15"/>
        <v/>
      </c>
      <c r="F41" s="4" t="str">
        <f t="shared" si="1"/>
        <v/>
      </c>
      <c r="G41" s="4" t="str">
        <f t="shared" si="2"/>
        <v/>
      </c>
      <c r="H41" s="4" t="str">
        <f t="shared" si="3"/>
        <v/>
      </c>
      <c r="AA41" s="5" t="str">
        <f t="shared" si="25"/>
        <v/>
      </c>
      <c r="AB41" s="5" t="str">
        <f t="shared" si="25"/>
        <v/>
      </c>
      <c r="AC41" s="5" t="str">
        <f t="shared" si="25"/>
        <v/>
      </c>
      <c r="AD41" s="5" t="str">
        <f t="shared" si="25"/>
        <v/>
      </c>
      <c r="AE41" s="5" t="str">
        <f t="shared" si="25"/>
        <v/>
      </c>
      <c r="AF41" s="5" t="str">
        <f t="shared" si="25"/>
        <v/>
      </c>
      <c r="AG41" s="5" t="str">
        <f t="shared" si="25"/>
        <v/>
      </c>
      <c r="AH41" s="5" t="str">
        <f t="shared" si="25"/>
        <v/>
      </c>
      <c r="AI41" s="5" t="str">
        <f t="shared" si="25"/>
        <v/>
      </c>
      <c r="AJ41" s="5" t="str">
        <f t="shared" si="25"/>
        <v/>
      </c>
      <c r="AK41" s="5" t="str">
        <f t="shared" si="26"/>
        <v/>
      </c>
      <c r="AL41" s="5" t="str">
        <f t="shared" si="26"/>
        <v/>
      </c>
      <c r="AM41" s="5" t="str">
        <f t="shared" si="26"/>
        <v/>
      </c>
      <c r="AN41" s="5" t="str">
        <f t="shared" si="26"/>
        <v/>
      </c>
      <c r="AO41" s="5" t="str">
        <f t="shared" si="26"/>
        <v/>
      </c>
      <c r="AP41" s="5" t="str">
        <f t="shared" si="26"/>
        <v/>
      </c>
      <c r="AQ41" s="5" t="str">
        <f t="shared" si="26"/>
        <v/>
      </c>
      <c r="AR41" s="5" t="str">
        <f t="shared" si="26"/>
        <v/>
      </c>
      <c r="AS41" s="5" t="str">
        <f t="shared" si="26"/>
        <v/>
      </c>
      <c r="AT41" s="5" t="str">
        <f t="shared" si="26"/>
        <v/>
      </c>
      <c r="AU41" s="5" t="str">
        <f t="shared" si="27"/>
        <v/>
      </c>
      <c r="AV41" s="5" t="str">
        <f t="shared" si="27"/>
        <v/>
      </c>
      <c r="AW41" s="5" t="str">
        <f t="shared" si="27"/>
        <v/>
      </c>
      <c r="AX41" s="5" t="str">
        <f t="shared" si="27"/>
        <v/>
      </c>
      <c r="AY41" s="5" t="str">
        <f t="shared" si="27"/>
        <v/>
      </c>
      <c r="AZ41" s="5" t="str">
        <f t="shared" si="27"/>
        <v/>
      </c>
      <c r="BA41" s="5" t="str">
        <f t="shared" si="27"/>
        <v/>
      </c>
      <c r="BB41" s="5" t="str">
        <f t="shared" si="27"/>
        <v/>
      </c>
      <c r="BC41" s="5" t="str">
        <f t="shared" si="27"/>
        <v/>
      </c>
      <c r="BD41" s="5" t="str">
        <f t="shared" si="27"/>
        <v/>
      </c>
      <c r="BE41" s="5" t="str">
        <f t="shared" si="28"/>
        <v/>
      </c>
      <c r="BF41" s="5" t="str">
        <f t="shared" si="28"/>
        <v/>
      </c>
      <c r="BG41" s="5" t="str">
        <f t="shared" si="28"/>
        <v/>
      </c>
      <c r="BH41" s="5" t="str">
        <f t="shared" si="28"/>
        <v/>
      </c>
      <c r="BI41" s="5" t="str">
        <f t="shared" si="28"/>
        <v/>
      </c>
      <c r="BJ41" s="5" t="str">
        <f t="shared" si="28"/>
        <v/>
      </c>
      <c r="BK41" s="5" t="str">
        <f t="shared" si="28"/>
        <v/>
      </c>
      <c r="BL41" s="5" t="str">
        <f t="shared" si="28"/>
        <v/>
      </c>
      <c r="BM41" s="5" t="str">
        <f t="shared" si="28"/>
        <v/>
      </c>
      <c r="BN41" s="5" t="str">
        <f t="shared" si="28"/>
        <v/>
      </c>
      <c r="BO41" s="5" t="str">
        <f t="shared" si="28"/>
        <v/>
      </c>
      <c r="BP41" s="5" t="str">
        <f t="shared" si="28"/>
        <v/>
      </c>
      <c r="BQ41" s="5" t="str">
        <f t="shared" si="28"/>
        <v/>
      </c>
      <c r="BR41" s="9" t="str">
        <f t="shared" si="8"/>
        <v/>
      </c>
      <c r="BS41" s="5" t="str">
        <f t="shared" si="9"/>
        <v/>
      </c>
      <c r="BT41" s="5" t="str">
        <f t="shared" si="16"/>
        <v/>
      </c>
      <c r="BU41" s="5" t="str">
        <f t="shared" si="10"/>
        <v/>
      </c>
      <c r="BV41" s="5" t="str">
        <f t="shared" si="11"/>
        <v/>
      </c>
      <c r="BW41" s="5" t="str">
        <f t="shared" si="12"/>
        <v/>
      </c>
      <c r="BX41" s="1" t="str">
        <f t="shared" si="13"/>
        <v/>
      </c>
    </row>
    <row r="42" spans="1:76">
      <c r="A42" s="1">
        <v>40</v>
      </c>
      <c r="B42" s="10"/>
      <c r="C42" s="10"/>
      <c r="D42" s="4" t="str">
        <f t="shared" si="14"/>
        <v/>
      </c>
      <c r="E42" s="3" t="str">
        <f t="shared" si="15"/>
        <v/>
      </c>
      <c r="F42" s="4" t="str">
        <f t="shared" si="1"/>
        <v/>
      </c>
      <c r="G42" s="4" t="str">
        <f t="shared" si="2"/>
        <v/>
      </c>
      <c r="H42" s="4" t="str">
        <f t="shared" si="3"/>
        <v/>
      </c>
      <c r="AA42" s="5" t="str">
        <f t="shared" si="25"/>
        <v/>
      </c>
      <c r="AB42" s="5" t="str">
        <f t="shared" si="25"/>
        <v/>
      </c>
      <c r="AC42" s="5" t="str">
        <f t="shared" si="25"/>
        <v/>
      </c>
      <c r="AD42" s="5" t="str">
        <f t="shared" si="25"/>
        <v/>
      </c>
      <c r="AE42" s="5" t="str">
        <f t="shared" si="25"/>
        <v/>
      </c>
      <c r="AF42" s="5" t="str">
        <f t="shared" si="25"/>
        <v/>
      </c>
      <c r="AG42" s="5" t="str">
        <f t="shared" si="25"/>
        <v/>
      </c>
      <c r="AH42" s="5" t="str">
        <f t="shared" si="25"/>
        <v/>
      </c>
      <c r="AI42" s="5" t="str">
        <f t="shared" si="25"/>
        <v/>
      </c>
      <c r="AJ42" s="5" t="str">
        <f t="shared" si="25"/>
        <v/>
      </c>
      <c r="AK42" s="5" t="str">
        <f t="shared" si="26"/>
        <v/>
      </c>
      <c r="AL42" s="5" t="str">
        <f t="shared" si="26"/>
        <v/>
      </c>
      <c r="AM42" s="5" t="str">
        <f t="shared" si="26"/>
        <v/>
      </c>
      <c r="AN42" s="5" t="str">
        <f t="shared" si="26"/>
        <v/>
      </c>
      <c r="AO42" s="5" t="str">
        <f t="shared" si="26"/>
        <v/>
      </c>
      <c r="AP42" s="5" t="str">
        <f t="shared" si="26"/>
        <v/>
      </c>
      <c r="AQ42" s="5" t="str">
        <f t="shared" si="26"/>
        <v/>
      </c>
      <c r="AR42" s="5" t="str">
        <f t="shared" si="26"/>
        <v/>
      </c>
      <c r="AS42" s="5" t="str">
        <f t="shared" si="26"/>
        <v/>
      </c>
      <c r="AT42" s="5" t="str">
        <f t="shared" si="26"/>
        <v/>
      </c>
      <c r="AU42" s="5" t="str">
        <f t="shared" si="27"/>
        <v/>
      </c>
      <c r="AV42" s="5" t="str">
        <f t="shared" si="27"/>
        <v/>
      </c>
      <c r="AW42" s="5" t="str">
        <f t="shared" si="27"/>
        <v/>
      </c>
      <c r="AX42" s="5" t="str">
        <f t="shared" si="27"/>
        <v/>
      </c>
      <c r="AY42" s="5" t="str">
        <f t="shared" si="27"/>
        <v/>
      </c>
      <c r="AZ42" s="5" t="str">
        <f t="shared" si="27"/>
        <v/>
      </c>
      <c r="BA42" s="5" t="str">
        <f t="shared" si="27"/>
        <v/>
      </c>
      <c r="BB42" s="5" t="str">
        <f t="shared" si="27"/>
        <v/>
      </c>
      <c r="BC42" s="5" t="str">
        <f t="shared" si="27"/>
        <v/>
      </c>
      <c r="BD42" s="5" t="str">
        <f t="shared" si="27"/>
        <v/>
      </c>
      <c r="BE42" s="5" t="str">
        <f t="shared" si="28"/>
        <v/>
      </c>
      <c r="BF42" s="5" t="str">
        <f t="shared" si="28"/>
        <v/>
      </c>
      <c r="BG42" s="5" t="str">
        <f t="shared" si="28"/>
        <v/>
      </c>
      <c r="BH42" s="5" t="str">
        <f t="shared" si="28"/>
        <v/>
      </c>
      <c r="BI42" s="5" t="str">
        <f t="shared" si="28"/>
        <v/>
      </c>
      <c r="BJ42" s="5" t="str">
        <f t="shared" si="28"/>
        <v/>
      </c>
      <c r="BK42" s="5" t="str">
        <f t="shared" si="28"/>
        <v/>
      </c>
      <c r="BL42" s="5" t="str">
        <f t="shared" si="28"/>
        <v/>
      </c>
      <c r="BM42" s="5" t="str">
        <f t="shared" si="28"/>
        <v/>
      </c>
      <c r="BN42" s="5" t="str">
        <f t="shared" si="28"/>
        <v/>
      </c>
      <c r="BO42" s="5" t="str">
        <f t="shared" si="28"/>
        <v/>
      </c>
      <c r="BP42" s="5" t="str">
        <f t="shared" si="28"/>
        <v/>
      </c>
      <c r="BQ42" s="5" t="str">
        <f t="shared" si="28"/>
        <v/>
      </c>
      <c r="BR42" s="9" t="str">
        <f t="shared" si="8"/>
        <v/>
      </c>
      <c r="BS42" s="5" t="str">
        <f t="shared" si="9"/>
        <v/>
      </c>
      <c r="BT42" s="5" t="str">
        <f t="shared" si="16"/>
        <v/>
      </c>
      <c r="BU42" s="5" t="str">
        <f t="shared" si="10"/>
        <v/>
      </c>
      <c r="BV42" s="5" t="str">
        <f t="shared" si="11"/>
        <v/>
      </c>
      <c r="BW42" s="5" t="str">
        <f t="shared" si="12"/>
        <v/>
      </c>
      <c r="BX42" s="1" t="str">
        <f t="shared" si="13"/>
        <v/>
      </c>
    </row>
    <row r="43" spans="1:76">
      <c r="A43" s="1">
        <v>41</v>
      </c>
      <c r="B43" s="10"/>
      <c r="C43" s="10"/>
      <c r="D43" s="4" t="str">
        <f t="shared" si="14"/>
        <v/>
      </c>
      <c r="E43" s="3" t="str">
        <f t="shared" si="15"/>
        <v/>
      </c>
      <c r="F43" s="4" t="str">
        <f t="shared" si="1"/>
        <v/>
      </c>
      <c r="G43" s="4" t="str">
        <f t="shared" si="2"/>
        <v/>
      </c>
      <c r="H43" s="4" t="str">
        <f t="shared" si="3"/>
        <v/>
      </c>
      <c r="AA43" s="5" t="str">
        <f t="shared" si="25"/>
        <v/>
      </c>
      <c r="AB43" s="5" t="str">
        <f t="shared" si="25"/>
        <v/>
      </c>
      <c r="AC43" s="5" t="str">
        <f t="shared" si="25"/>
        <v/>
      </c>
      <c r="AD43" s="5" t="str">
        <f t="shared" si="25"/>
        <v/>
      </c>
      <c r="AE43" s="5" t="str">
        <f t="shared" si="25"/>
        <v/>
      </c>
      <c r="AF43" s="5" t="str">
        <f t="shared" si="25"/>
        <v/>
      </c>
      <c r="AG43" s="5" t="str">
        <f t="shared" si="25"/>
        <v/>
      </c>
      <c r="AH43" s="5" t="str">
        <f t="shared" si="25"/>
        <v/>
      </c>
      <c r="AI43" s="5" t="str">
        <f t="shared" si="25"/>
        <v/>
      </c>
      <c r="AJ43" s="5" t="str">
        <f t="shared" si="25"/>
        <v/>
      </c>
      <c r="AK43" s="5" t="str">
        <f t="shared" si="26"/>
        <v/>
      </c>
      <c r="AL43" s="5" t="str">
        <f t="shared" si="26"/>
        <v/>
      </c>
      <c r="AM43" s="5" t="str">
        <f t="shared" si="26"/>
        <v/>
      </c>
      <c r="AN43" s="5" t="str">
        <f t="shared" si="26"/>
        <v/>
      </c>
      <c r="AO43" s="5" t="str">
        <f t="shared" si="26"/>
        <v/>
      </c>
      <c r="AP43" s="5" t="str">
        <f t="shared" si="26"/>
        <v/>
      </c>
      <c r="AQ43" s="5" t="str">
        <f t="shared" si="26"/>
        <v/>
      </c>
      <c r="AR43" s="5" t="str">
        <f t="shared" si="26"/>
        <v/>
      </c>
      <c r="AS43" s="5" t="str">
        <f t="shared" si="26"/>
        <v/>
      </c>
      <c r="AT43" s="5" t="str">
        <f t="shared" si="26"/>
        <v/>
      </c>
      <c r="AU43" s="5" t="str">
        <f t="shared" si="27"/>
        <v/>
      </c>
      <c r="AV43" s="5" t="str">
        <f t="shared" si="27"/>
        <v/>
      </c>
      <c r="AW43" s="5" t="str">
        <f t="shared" si="27"/>
        <v/>
      </c>
      <c r="AX43" s="5" t="str">
        <f t="shared" si="27"/>
        <v/>
      </c>
      <c r="AY43" s="5" t="str">
        <f t="shared" si="27"/>
        <v/>
      </c>
      <c r="AZ43" s="5" t="str">
        <f t="shared" si="27"/>
        <v/>
      </c>
      <c r="BA43" s="5" t="str">
        <f t="shared" si="27"/>
        <v/>
      </c>
      <c r="BB43" s="5" t="str">
        <f t="shared" si="27"/>
        <v/>
      </c>
      <c r="BC43" s="5" t="str">
        <f t="shared" si="27"/>
        <v/>
      </c>
      <c r="BD43" s="5" t="str">
        <f t="shared" si="27"/>
        <v/>
      </c>
      <c r="BE43" s="5" t="str">
        <f t="shared" si="28"/>
        <v/>
      </c>
      <c r="BF43" s="5" t="str">
        <f t="shared" si="28"/>
        <v/>
      </c>
      <c r="BG43" s="5" t="str">
        <f t="shared" si="28"/>
        <v/>
      </c>
      <c r="BH43" s="5" t="str">
        <f t="shared" si="28"/>
        <v/>
      </c>
      <c r="BI43" s="5" t="str">
        <f t="shared" si="28"/>
        <v/>
      </c>
      <c r="BJ43" s="5" t="str">
        <f t="shared" si="28"/>
        <v/>
      </c>
      <c r="BK43" s="5" t="str">
        <f t="shared" si="28"/>
        <v/>
      </c>
      <c r="BL43" s="5" t="str">
        <f t="shared" si="28"/>
        <v/>
      </c>
      <c r="BM43" s="5" t="str">
        <f t="shared" si="28"/>
        <v/>
      </c>
      <c r="BN43" s="5" t="str">
        <f t="shared" si="28"/>
        <v/>
      </c>
      <c r="BO43" s="5" t="str">
        <f t="shared" si="28"/>
        <v/>
      </c>
      <c r="BP43" s="5" t="str">
        <f t="shared" si="28"/>
        <v/>
      </c>
      <c r="BQ43" s="5" t="str">
        <f t="shared" si="28"/>
        <v/>
      </c>
      <c r="BR43" s="9" t="str">
        <f t="shared" si="8"/>
        <v/>
      </c>
      <c r="BS43" s="5" t="str">
        <f t="shared" si="9"/>
        <v/>
      </c>
      <c r="BT43" s="5" t="str">
        <f t="shared" si="16"/>
        <v/>
      </c>
      <c r="BU43" s="5" t="str">
        <f t="shared" si="10"/>
        <v/>
      </c>
      <c r="BV43" s="5" t="str">
        <f t="shared" si="11"/>
        <v/>
      </c>
      <c r="BW43" s="5" t="str">
        <f t="shared" si="12"/>
        <v/>
      </c>
      <c r="BX43" s="1" t="str">
        <f t="shared" si="13"/>
        <v/>
      </c>
    </row>
    <row r="44" spans="1:76">
      <c r="A44" s="1">
        <v>42</v>
      </c>
      <c r="B44" s="10"/>
      <c r="C44" s="10"/>
      <c r="D44" s="4" t="str">
        <f t="shared" si="14"/>
        <v/>
      </c>
      <c r="E44" s="3" t="str">
        <f t="shared" si="15"/>
        <v/>
      </c>
      <c r="F44" s="4" t="str">
        <f t="shared" si="1"/>
        <v/>
      </c>
      <c r="G44" s="4" t="str">
        <f t="shared" si="2"/>
        <v/>
      </c>
      <c r="H44" s="4" t="str">
        <f t="shared" si="3"/>
        <v/>
      </c>
      <c r="AA44" s="5" t="str">
        <f t="shared" si="25"/>
        <v/>
      </c>
      <c r="AB44" s="5" t="str">
        <f t="shared" si="25"/>
        <v/>
      </c>
      <c r="AC44" s="5" t="str">
        <f t="shared" si="25"/>
        <v/>
      </c>
      <c r="AD44" s="5" t="str">
        <f t="shared" si="25"/>
        <v/>
      </c>
      <c r="AE44" s="5" t="str">
        <f t="shared" si="25"/>
        <v/>
      </c>
      <c r="AF44" s="5" t="str">
        <f t="shared" si="25"/>
        <v/>
      </c>
      <c r="AG44" s="5" t="str">
        <f t="shared" si="25"/>
        <v/>
      </c>
      <c r="AH44" s="5" t="str">
        <f t="shared" si="25"/>
        <v/>
      </c>
      <c r="AI44" s="5" t="str">
        <f t="shared" si="25"/>
        <v/>
      </c>
      <c r="AJ44" s="5" t="str">
        <f t="shared" si="25"/>
        <v/>
      </c>
      <c r="AK44" s="5" t="str">
        <f t="shared" si="26"/>
        <v/>
      </c>
      <c r="AL44" s="5" t="str">
        <f t="shared" si="26"/>
        <v/>
      </c>
      <c r="AM44" s="5" t="str">
        <f t="shared" si="26"/>
        <v/>
      </c>
      <c r="AN44" s="5" t="str">
        <f t="shared" si="26"/>
        <v/>
      </c>
      <c r="AO44" s="5" t="str">
        <f t="shared" si="26"/>
        <v/>
      </c>
      <c r="AP44" s="5" t="str">
        <f t="shared" si="26"/>
        <v/>
      </c>
      <c r="AQ44" s="5" t="str">
        <f t="shared" si="26"/>
        <v/>
      </c>
      <c r="AR44" s="5" t="str">
        <f t="shared" si="26"/>
        <v/>
      </c>
      <c r="AS44" s="5" t="str">
        <f t="shared" si="26"/>
        <v/>
      </c>
      <c r="AT44" s="5" t="str">
        <f t="shared" si="26"/>
        <v/>
      </c>
      <c r="AU44" s="5" t="str">
        <f t="shared" si="27"/>
        <v/>
      </c>
      <c r="AV44" s="5" t="str">
        <f t="shared" si="27"/>
        <v/>
      </c>
      <c r="AW44" s="5" t="str">
        <f t="shared" si="27"/>
        <v/>
      </c>
      <c r="AX44" s="5" t="str">
        <f t="shared" si="27"/>
        <v/>
      </c>
      <c r="AY44" s="5" t="str">
        <f t="shared" si="27"/>
        <v/>
      </c>
      <c r="AZ44" s="5" t="str">
        <f t="shared" si="27"/>
        <v/>
      </c>
      <c r="BA44" s="5" t="str">
        <f t="shared" si="27"/>
        <v/>
      </c>
      <c r="BB44" s="5" t="str">
        <f t="shared" si="27"/>
        <v/>
      </c>
      <c r="BC44" s="5" t="str">
        <f t="shared" si="27"/>
        <v/>
      </c>
      <c r="BD44" s="5" t="str">
        <f t="shared" si="27"/>
        <v/>
      </c>
      <c r="BE44" s="5" t="str">
        <f t="shared" si="28"/>
        <v/>
      </c>
      <c r="BF44" s="5" t="str">
        <f t="shared" si="28"/>
        <v/>
      </c>
      <c r="BG44" s="5" t="str">
        <f t="shared" si="28"/>
        <v/>
      </c>
      <c r="BH44" s="5" t="str">
        <f t="shared" si="28"/>
        <v/>
      </c>
      <c r="BI44" s="5" t="str">
        <f t="shared" si="28"/>
        <v/>
      </c>
      <c r="BJ44" s="5" t="str">
        <f t="shared" si="28"/>
        <v/>
      </c>
      <c r="BK44" s="5" t="str">
        <f t="shared" si="28"/>
        <v/>
      </c>
      <c r="BL44" s="5" t="str">
        <f t="shared" si="28"/>
        <v/>
      </c>
      <c r="BM44" s="5" t="str">
        <f t="shared" si="28"/>
        <v/>
      </c>
      <c r="BN44" s="5" t="str">
        <f t="shared" si="28"/>
        <v/>
      </c>
      <c r="BO44" s="5" t="str">
        <f t="shared" si="28"/>
        <v/>
      </c>
      <c r="BP44" s="5" t="str">
        <f t="shared" si="28"/>
        <v/>
      </c>
      <c r="BQ44" s="5" t="str">
        <f t="shared" si="28"/>
        <v/>
      </c>
      <c r="BR44" s="9" t="str">
        <f t="shared" si="8"/>
        <v/>
      </c>
      <c r="BS44" s="5" t="str">
        <f t="shared" si="9"/>
        <v/>
      </c>
      <c r="BT44" s="5" t="str">
        <f t="shared" si="16"/>
        <v/>
      </c>
      <c r="BU44" s="5" t="str">
        <f t="shared" si="10"/>
        <v/>
      </c>
      <c r="BV44" s="5" t="str">
        <f t="shared" si="11"/>
        <v/>
      </c>
      <c r="BW44" s="5" t="str">
        <f t="shared" si="12"/>
        <v/>
      </c>
      <c r="BX44" s="1" t="str">
        <f t="shared" si="13"/>
        <v/>
      </c>
    </row>
    <row r="45" spans="1:76">
      <c r="A45" s="1">
        <v>43</v>
      </c>
      <c r="B45" s="10"/>
      <c r="C45" s="10"/>
      <c r="D45" s="4" t="str">
        <f t="shared" si="14"/>
        <v/>
      </c>
      <c r="E45" s="3" t="str">
        <f t="shared" si="15"/>
        <v/>
      </c>
      <c r="F45" s="4" t="str">
        <f t="shared" si="1"/>
        <v/>
      </c>
      <c r="G45" s="4" t="str">
        <f t="shared" si="2"/>
        <v/>
      </c>
      <c r="H45" s="4" t="str">
        <f t="shared" si="3"/>
        <v/>
      </c>
      <c r="AA45" s="5" t="str">
        <f t="shared" si="25"/>
        <v/>
      </c>
      <c r="AB45" s="5" t="str">
        <f t="shared" si="25"/>
        <v/>
      </c>
      <c r="AC45" s="5" t="str">
        <f t="shared" si="25"/>
        <v/>
      </c>
      <c r="AD45" s="5" t="str">
        <f t="shared" si="25"/>
        <v/>
      </c>
      <c r="AE45" s="5" t="str">
        <f t="shared" si="25"/>
        <v/>
      </c>
      <c r="AF45" s="5" t="str">
        <f t="shared" si="25"/>
        <v/>
      </c>
      <c r="AG45" s="5" t="str">
        <f t="shared" si="25"/>
        <v/>
      </c>
      <c r="AH45" s="5" t="str">
        <f t="shared" si="25"/>
        <v/>
      </c>
      <c r="AI45" s="5" t="str">
        <f t="shared" si="25"/>
        <v/>
      </c>
      <c r="AJ45" s="5" t="str">
        <f t="shared" si="25"/>
        <v/>
      </c>
      <c r="AK45" s="5" t="str">
        <f t="shared" si="26"/>
        <v/>
      </c>
      <c r="AL45" s="5" t="str">
        <f t="shared" si="26"/>
        <v/>
      </c>
      <c r="AM45" s="5" t="str">
        <f t="shared" si="26"/>
        <v/>
      </c>
      <c r="AN45" s="5" t="str">
        <f t="shared" si="26"/>
        <v/>
      </c>
      <c r="AO45" s="5" t="str">
        <f t="shared" si="26"/>
        <v/>
      </c>
      <c r="AP45" s="5" t="str">
        <f t="shared" si="26"/>
        <v/>
      </c>
      <c r="AQ45" s="5" t="str">
        <f t="shared" si="26"/>
        <v/>
      </c>
      <c r="AR45" s="5" t="str">
        <f t="shared" si="26"/>
        <v/>
      </c>
      <c r="AS45" s="5" t="str">
        <f t="shared" si="26"/>
        <v/>
      </c>
      <c r="AT45" s="5" t="str">
        <f t="shared" si="26"/>
        <v/>
      </c>
      <c r="AU45" s="5" t="str">
        <f t="shared" si="27"/>
        <v/>
      </c>
      <c r="AV45" s="5" t="str">
        <f t="shared" si="27"/>
        <v/>
      </c>
      <c r="AW45" s="5" t="str">
        <f t="shared" si="27"/>
        <v/>
      </c>
      <c r="AX45" s="5" t="str">
        <f t="shared" si="27"/>
        <v/>
      </c>
      <c r="AY45" s="5" t="str">
        <f t="shared" si="27"/>
        <v/>
      </c>
      <c r="AZ45" s="5" t="str">
        <f t="shared" si="27"/>
        <v/>
      </c>
      <c r="BA45" s="5" t="str">
        <f t="shared" si="27"/>
        <v/>
      </c>
      <c r="BB45" s="5" t="str">
        <f t="shared" si="27"/>
        <v/>
      </c>
      <c r="BC45" s="5" t="str">
        <f t="shared" si="27"/>
        <v/>
      </c>
      <c r="BD45" s="5" t="str">
        <f t="shared" si="27"/>
        <v/>
      </c>
      <c r="BE45" s="5" t="str">
        <f t="shared" si="28"/>
        <v/>
      </c>
      <c r="BF45" s="5" t="str">
        <f t="shared" si="28"/>
        <v/>
      </c>
      <c r="BG45" s="5" t="str">
        <f t="shared" si="28"/>
        <v/>
      </c>
      <c r="BH45" s="5" t="str">
        <f t="shared" si="28"/>
        <v/>
      </c>
      <c r="BI45" s="5" t="str">
        <f t="shared" si="28"/>
        <v/>
      </c>
      <c r="BJ45" s="5" t="str">
        <f t="shared" si="28"/>
        <v/>
      </c>
      <c r="BK45" s="5" t="str">
        <f t="shared" si="28"/>
        <v/>
      </c>
      <c r="BL45" s="5" t="str">
        <f t="shared" si="28"/>
        <v/>
      </c>
      <c r="BM45" s="5" t="str">
        <f t="shared" si="28"/>
        <v/>
      </c>
      <c r="BN45" s="5" t="str">
        <f t="shared" si="28"/>
        <v/>
      </c>
      <c r="BO45" s="5" t="str">
        <f t="shared" si="28"/>
        <v/>
      </c>
      <c r="BP45" s="5" t="str">
        <f t="shared" si="28"/>
        <v/>
      </c>
      <c r="BQ45" s="5" t="str">
        <f t="shared" si="28"/>
        <v/>
      </c>
      <c r="BR45" s="9" t="str">
        <f t="shared" si="8"/>
        <v/>
      </c>
      <c r="BS45" s="5" t="str">
        <f t="shared" si="9"/>
        <v/>
      </c>
      <c r="BT45" s="5" t="str">
        <f t="shared" si="16"/>
        <v/>
      </c>
      <c r="BU45" s="5" t="str">
        <f t="shared" si="10"/>
        <v/>
      </c>
      <c r="BV45" s="5" t="str">
        <f t="shared" si="11"/>
        <v/>
      </c>
      <c r="BW45" s="5" t="str">
        <f t="shared" si="12"/>
        <v/>
      </c>
      <c r="BX45" s="1" t="str">
        <f t="shared" si="13"/>
        <v/>
      </c>
    </row>
    <row r="46" spans="1:76">
      <c r="AA46" s="5" t="str">
        <f t="shared" si="25"/>
        <v/>
      </c>
      <c r="AB46" s="5" t="str">
        <f t="shared" si="25"/>
        <v/>
      </c>
      <c r="AC46" s="5" t="str">
        <f t="shared" si="25"/>
        <v/>
      </c>
      <c r="AD46" s="5" t="str">
        <f t="shared" si="25"/>
        <v/>
      </c>
      <c r="AE46" s="5" t="str">
        <f t="shared" si="25"/>
        <v/>
      </c>
      <c r="AF46" s="5" t="str">
        <f t="shared" si="25"/>
        <v/>
      </c>
      <c r="AG46" s="5" t="str">
        <f t="shared" si="25"/>
        <v/>
      </c>
      <c r="AH46" s="5" t="str">
        <f t="shared" si="25"/>
        <v/>
      </c>
      <c r="AI46" s="5" t="str">
        <f t="shared" si="25"/>
        <v/>
      </c>
      <c r="AJ46" s="5" t="str">
        <f t="shared" si="25"/>
        <v/>
      </c>
      <c r="AK46" s="5" t="str">
        <f t="shared" si="26"/>
        <v/>
      </c>
      <c r="AL46" s="5" t="str">
        <f t="shared" si="26"/>
        <v/>
      </c>
      <c r="AM46" s="5" t="str">
        <f t="shared" si="26"/>
        <v/>
      </c>
      <c r="AN46" s="5" t="str">
        <f t="shared" si="26"/>
        <v/>
      </c>
      <c r="AO46" s="5" t="str">
        <f t="shared" si="26"/>
        <v/>
      </c>
      <c r="AP46" s="5" t="str">
        <f t="shared" si="26"/>
        <v/>
      </c>
      <c r="AQ46" s="5" t="str">
        <f t="shared" si="26"/>
        <v/>
      </c>
      <c r="AR46" s="5" t="str">
        <f t="shared" si="26"/>
        <v/>
      </c>
      <c r="AS46" s="5" t="str">
        <f t="shared" si="26"/>
        <v/>
      </c>
      <c r="AT46" s="5" t="str">
        <f t="shared" si="26"/>
        <v/>
      </c>
      <c r="AU46" s="5" t="str">
        <f t="shared" si="27"/>
        <v/>
      </c>
      <c r="AV46" s="5" t="str">
        <f t="shared" si="27"/>
        <v/>
      </c>
      <c r="AW46" s="5" t="str">
        <f t="shared" si="27"/>
        <v/>
      </c>
      <c r="AX46" s="5" t="str">
        <f t="shared" si="27"/>
        <v/>
      </c>
      <c r="AY46" s="5" t="str">
        <f t="shared" si="27"/>
        <v/>
      </c>
      <c r="AZ46" s="5" t="str">
        <f t="shared" si="27"/>
        <v/>
      </c>
      <c r="BA46" s="5" t="str">
        <f t="shared" si="27"/>
        <v/>
      </c>
      <c r="BB46" s="5" t="str">
        <f t="shared" si="27"/>
        <v/>
      </c>
      <c r="BC46" s="5" t="str">
        <f t="shared" si="27"/>
        <v/>
      </c>
      <c r="BD46" s="5" t="str">
        <f t="shared" si="27"/>
        <v/>
      </c>
      <c r="BE46" s="5" t="str">
        <f t="shared" si="28"/>
        <v/>
      </c>
      <c r="BF46" s="5" t="str">
        <f t="shared" si="28"/>
        <v/>
      </c>
      <c r="BG46" s="5" t="str">
        <f t="shared" si="28"/>
        <v/>
      </c>
      <c r="BH46" s="5" t="str">
        <f t="shared" si="28"/>
        <v/>
      </c>
      <c r="BI46" s="5" t="str">
        <f t="shared" si="28"/>
        <v/>
      </c>
      <c r="BJ46" s="5" t="str">
        <f t="shared" si="28"/>
        <v/>
      </c>
      <c r="BK46" s="5" t="str">
        <f t="shared" si="28"/>
        <v/>
      </c>
      <c r="BL46" s="5" t="str">
        <f t="shared" si="28"/>
        <v/>
      </c>
      <c r="BM46" s="5" t="str">
        <f t="shared" si="28"/>
        <v/>
      </c>
      <c r="BN46" s="5" t="str">
        <f t="shared" si="28"/>
        <v/>
      </c>
      <c r="BO46" s="5" t="str">
        <f t="shared" si="28"/>
        <v/>
      </c>
      <c r="BP46" s="5" t="str">
        <f t="shared" si="28"/>
        <v/>
      </c>
      <c r="BQ46" s="5" t="str">
        <f t="shared" si="28"/>
        <v/>
      </c>
    </row>
  </sheetData>
  <sortState ref="B3:B30">
    <sortCondition descending="1" ref="B3"/>
  </sortState>
  <customSheetViews>
    <customSheetView guid="{82A098D8-87FB-499C-8E7A-F188AA1DFC5D}">
      <selection activeCell="E2" sqref="E2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</dc:creator>
  <cp:lastModifiedBy>Rik</cp:lastModifiedBy>
  <dcterms:created xsi:type="dcterms:W3CDTF">2011-02-12T11:32:12Z</dcterms:created>
  <dcterms:modified xsi:type="dcterms:W3CDTF">2014-11-22T15:24:02Z</dcterms:modified>
</cp:coreProperties>
</file>